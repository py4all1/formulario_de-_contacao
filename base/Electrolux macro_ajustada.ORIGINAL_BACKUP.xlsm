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Open\Code For companies\Code For companies - General\ELECTROLUX\"/>
    </mc:Choice>
  </mc:AlternateContent>
  <xr:revisionPtr revIDLastSave="0" documentId="13_ncr:1_{E5A0BAB0-13BB-46B6-9915-DDBF8BC76B1E}" xr6:coauthVersionLast="47" xr6:coauthVersionMax="47" xr10:uidLastSave="{00000000-0000-0000-0000-000000000000}"/>
  <bookViews>
    <workbookView xWindow="-120" yWindow="-120" windowWidth="29040" windowHeight="15720" xr2:uid="{B688185D-449B-48D7-9AAB-1C5CA0C9FFA6}"/>
  </bookViews>
  <sheets>
    <sheet name="Formulário" sheetId="1" r:id="rId1"/>
    <sheet name="Intruções de Preenchimento" sheetId="4" r:id="rId2"/>
    <sheet name="Codigo_Atividade" sheetId="5" state="hidden" r:id="rId3"/>
    <sheet name="bases" sheetId="2" r:id="rId4"/>
    <sheet name="Fliais" sheetId="3" r:id="rId5"/>
    <sheet name="Filiais 2" sheetId="7" r:id="rId6"/>
    <sheet name="CONSOLIDADO" sheetId="6" r:id="rId7"/>
  </sheets>
  <functionGroups builtInGroupCount="19"/>
  <definedNames>
    <definedName name="_xlnm._FilterDatabase" localSheetId="2" hidden="1">Codigo_Atividade!$A$1:$D$200</definedName>
    <definedName name="_xlnm._FilterDatabase" localSheetId="6" hidden="1">CONSOLIDADO!$B$4:$AM$4</definedName>
    <definedName name="_xlnm._FilterDatabase" localSheetId="5" hidden="1">'Filiais 2'!$A$1:$EH$53</definedName>
    <definedName name="_xleta.BASE" hidden="1" xlm="1">#NAME?</definedName>
    <definedName name="_xleta.IF" hidden="1" xlm="1">#NAME?</definedName>
    <definedName name="_xleta.XLOOKUP" hidden="1" xlm="1">#NAME?</definedName>
    <definedName name="_xlnm.Print_Area" localSheetId="1">'Intruções de Preenchimento'!$A$1:$Z$47</definedName>
    <definedName name="cAtivDescr">Codigo_Atividade!$C$2:$C$200</definedName>
    <definedName name="cCodAtiv">Codigo_Atividade!$B$2:$B$200</definedName>
    <definedName name="chave_1_cod_sap">CONSOLIDADO!$AM$5:$AM$312</definedName>
    <definedName name="chave_2_cod_sap">CONSOLIDADO!$AN$5:$AN$312</definedName>
    <definedName name="codigo_sap">CONSOLIDADO!$D$5:$D$312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4" i="1" l="1"/>
  <c r="Q35" i="1"/>
  <c r="R35" i="1" s="1"/>
  <c r="Q36" i="1"/>
  <c r="R36" i="1" s="1"/>
  <c r="Q37" i="1"/>
  <c r="Q38" i="1"/>
  <c r="R38" i="1" s="1"/>
  <c r="Q39" i="1"/>
  <c r="R39" i="1" s="1"/>
  <c r="Q40" i="1"/>
  <c r="R40" i="1" s="1"/>
  <c r="Q41" i="1"/>
  <c r="R41" i="1" s="1"/>
  <c r="Q42" i="1"/>
  <c r="R42" i="1" s="1"/>
  <c r="Q43" i="1"/>
  <c r="Q44" i="1"/>
  <c r="Q45" i="1"/>
  <c r="Q46" i="1"/>
  <c r="R46" i="1" s="1"/>
  <c r="Q47" i="1"/>
  <c r="R47" i="1" s="1"/>
  <c r="Q48" i="1"/>
  <c r="R48" i="1" s="1"/>
  <c r="Q49" i="1"/>
  <c r="R49" i="1" s="1"/>
  <c r="Q50" i="1"/>
  <c r="R50" i="1" s="1"/>
  <c r="Q51" i="1"/>
  <c r="R51" i="1" s="1"/>
  <c r="Q52" i="1"/>
  <c r="R52" i="1" s="1"/>
  <c r="Q53" i="1"/>
  <c r="Q54" i="1"/>
  <c r="R54" i="1" s="1"/>
  <c r="Q55" i="1"/>
  <c r="R55" i="1" s="1"/>
  <c r="Q56" i="1"/>
  <c r="R56" i="1" s="1"/>
  <c r="Q57" i="1"/>
  <c r="R57" i="1" s="1"/>
  <c r="Q58" i="1"/>
  <c r="R58" i="1" s="1"/>
  <c r="Q59" i="1"/>
  <c r="Q60" i="1"/>
  <c r="R60" i="1" s="1"/>
  <c r="Q61" i="1"/>
  <c r="Q62" i="1"/>
  <c r="R62" i="1" s="1"/>
  <c r="Q63" i="1"/>
  <c r="R63" i="1" s="1"/>
  <c r="Q64" i="1"/>
  <c r="R64" i="1" s="1"/>
  <c r="Q65" i="1"/>
  <c r="R65" i="1" s="1"/>
  <c r="Q66" i="1"/>
  <c r="R66" i="1" s="1"/>
  <c r="Q67" i="1"/>
  <c r="Q68" i="1"/>
  <c r="R68" i="1" s="1"/>
  <c r="Q69" i="1"/>
  <c r="Q70" i="1"/>
  <c r="R70" i="1" s="1"/>
  <c r="Q71" i="1"/>
  <c r="R71" i="1" s="1"/>
  <c r="Q72" i="1"/>
  <c r="R72" i="1" s="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AO3" i="7"/>
  <c r="AO4" i="7"/>
  <c r="AO5" i="7"/>
  <c r="AO6" i="7"/>
  <c r="AO7" i="7"/>
  <c r="AO8" i="7"/>
  <c r="AO9" i="7"/>
  <c r="AO10" i="7"/>
  <c r="AO11" i="7"/>
  <c r="AO12" i="7"/>
  <c r="AO13" i="7"/>
  <c r="AO14" i="7"/>
  <c r="AO15" i="7"/>
  <c r="AO16" i="7"/>
  <c r="AO17" i="7"/>
  <c r="AO18" i="7"/>
  <c r="AO19" i="7"/>
  <c r="AO20" i="7"/>
  <c r="AO21" i="7"/>
  <c r="AO22" i="7"/>
  <c r="AO23" i="7"/>
  <c r="AO24" i="7"/>
  <c r="AO25" i="7"/>
  <c r="AO26" i="7"/>
  <c r="AO27" i="7"/>
  <c r="AO28" i="7"/>
  <c r="AO29" i="7"/>
  <c r="AO30" i="7"/>
  <c r="AO31" i="7"/>
  <c r="AO32" i="7"/>
  <c r="AO33" i="7"/>
  <c r="AO34" i="7"/>
  <c r="AO35" i="7"/>
  <c r="AO36" i="7"/>
  <c r="AO37" i="7"/>
  <c r="AO38" i="7"/>
  <c r="AO39" i="7"/>
  <c r="AO40" i="7"/>
  <c r="AO41" i="7"/>
  <c r="AO42" i="7"/>
  <c r="AO43" i="7"/>
  <c r="AO44" i="7"/>
  <c r="AO45" i="7"/>
  <c r="AO46" i="7"/>
  <c r="AO47" i="7"/>
  <c r="AO48" i="7"/>
  <c r="AO49" i="7"/>
  <c r="AO50" i="7"/>
  <c r="AO51" i="7"/>
  <c r="AO52" i="7"/>
  <c r="AO53" i="7"/>
  <c r="AO2" i="7"/>
  <c r="S32" i="1"/>
  <c r="A18" i="1"/>
  <c r="J18" i="1" s="1"/>
  <c r="A19" i="1"/>
  <c r="J19" i="1" s="1"/>
  <c r="A20" i="1"/>
  <c r="J20" i="1" s="1"/>
  <c r="A21" i="1"/>
  <c r="J21" i="1" s="1"/>
  <c r="A22" i="1"/>
  <c r="J22" i="1" s="1"/>
  <c r="A23" i="1"/>
  <c r="J23" i="1" s="1"/>
  <c r="A24" i="1"/>
  <c r="J24" i="1" s="1"/>
  <c r="A25" i="1"/>
  <c r="J25" i="1" s="1"/>
  <c r="A26" i="1"/>
  <c r="J26" i="1" s="1"/>
  <c r="A27" i="1"/>
  <c r="J27" i="1" s="1"/>
  <c r="A28" i="1"/>
  <c r="J28" i="1" s="1"/>
  <c r="A17" i="1"/>
  <c r="J17" i="1" s="1"/>
  <c r="I18" i="1"/>
  <c r="I19" i="1"/>
  <c r="I20" i="1"/>
  <c r="I21" i="1"/>
  <c r="I22" i="1"/>
  <c r="I23" i="1"/>
  <c r="I24" i="1"/>
  <c r="I25" i="1"/>
  <c r="I26" i="1"/>
  <c r="I27" i="1"/>
  <c r="I28" i="1"/>
  <c r="I17" i="1"/>
  <c r="K17" i="1" s="1"/>
  <c r="K18" i="1"/>
  <c r="K19" i="1"/>
  <c r="K20" i="1"/>
  <c r="K21" i="1"/>
  <c r="K22" i="1"/>
  <c r="K23" i="1"/>
  <c r="K24" i="1"/>
  <c r="K25" i="1"/>
  <c r="K26" i="1"/>
  <c r="K27" i="1"/>
  <c r="K28" i="1"/>
  <c r="AN6" i="6"/>
  <c r="AN7" i="6"/>
  <c r="AN8" i="6"/>
  <c r="AN9" i="6"/>
  <c r="AN10" i="6"/>
  <c r="AN11" i="6"/>
  <c r="AN12" i="6"/>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51" i="6"/>
  <c r="AN52" i="6"/>
  <c r="AN53" i="6"/>
  <c r="AN54" i="6"/>
  <c r="AN55" i="6"/>
  <c r="AN56" i="6"/>
  <c r="AN57" i="6"/>
  <c r="AN58" i="6"/>
  <c r="AN59" i="6"/>
  <c r="AN60" i="6"/>
  <c r="AN61" i="6"/>
  <c r="AN62" i="6"/>
  <c r="AN63" i="6"/>
  <c r="AN64" i="6"/>
  <c r="AN65" i="6"/>
  <c r="AN66" i="6"/>
  <c r="AN67" i="6"/>
  <c r="AN68" i="6"/>
  <c r="AN69" i="6"/>
  <c r="AN70" i="6"/>
  <c r="AN71" i="6"/>
  <c r="AN72" i="6"/>
  <c r="AN73" i="6"/>
  <c r="AN74" i="6"/>
  <c r="AN75" i="6"/>
  <c r="AN76" i="6"/>
  <c r="AN77" i="6"/>
  <c r="AN78" i="6"/>
  <c r="AN79" i="6"/>
  <c r="AN80" i="6"/>
  <c r="AN81" i="6"/>
  <c r="AN82" i="6"/>
  <c r="AN83" i="6"/>
  <c r="AN84" i="6"/>
  <c r="AN85" i="6"/>
  <c r="AN86" i="6"/>
  <c r="AN87" i="6"/>
  <c r="AN88" i="6"/>
  <c r="AN89" i="6"/>
  <c r="AN90" i="6"/>
  <c r="AN91" i="6"/>
  <c r="AN92" i="6"/>
  <c r="AN93" i="6"/>
  <c r="AN94" i="6"/>
  <c r="AN95" i="6"/>
  <c r="AN96" i="6"/>
  <c r="AN97" i="6"/>
  <c r="AN98" i="6"/>
  <c r="AN99" i="6"/>
  <c r="AN100" i="6"/>
  <c r="AN101" i="6"/>
  <c r="AN102" i="6"/>
  <c r="AN103" i="6"/>
  <c r="AN104" i="6"/>
  <c r="AN105" i="6"/>
  <c r="AN106" i="6"/>
  <c r="AN107" i="6"/>
  <c r="AN108" i="6"/>
  <c r="AN109" i="6"/>
  <c r="AN110" i="6"/>
  <c r="AN111" i="6"/>
  <c r="AN112" i="6"/>
  <c r="AN113" i="6"/>
  <c r="AN114" i="6"/>
  <c r="AN115" i="6"/>
  <c r="AN116" i="6"/>
  <c r="AN117" i="6"/>
  <c r="AN118" i="6"/>
  <c r="AN119" i="6"/>
  <c r="AN120" i="6"/>
  <c r="AN121" i="6"/>
  <c r="AN122" i="6"/>
  <c r="AN123" i="6"/>
  <c r="AN124" i="6"/>
  <c r="AN125" i="6"/>
  <c r="AN126" i="6"/>
  <c r="AN127" i="6"/>
  <c r="AN128" i="6"/>
  <c r="AN129" i="6"/>
  <c r="AN130" i="6"/>
  <c r="AN131" i="6"/>
  <c r="AN132" i="6"/>
  <c r="AN133" i="6"/>
  <c r="AN134" i="6"/>
  <c r="AN135" i="6"/>
  <c r="AN136" i="6"/>
  <c r="AN137" i="6"/>
  <c r="AN138" i="6"/>
  <c r="AN139" i="6"/>
  <c r="AN140" i="6"/>
  <c r="AN141" i="6"/>
  <c r="AN142" i="6"/>
  <c r="AN143" i="6"/>
  <c r="AN144" i="6"/>
  <c r="AN145" i="6"/>
  <c r="AN146" i="6"/>
  <c r="AN147" i="6"/>
  <c r="AN148" i="6"/>
  <c r="AN149" i="6"/>
  <c r="AN150" i="6"/>
  <c r="AN151" i="6"/>
  <c r="AN152" i="6"/>
  <c r="AN153" i="6"/>
  <c r="AN154" i="6"/>
  <c r="AN155" i="6"/>
  <c r="AN156" i="6"/>
  <c r="AN157" i="6"/>
  <c r="AN158" i="6"/>
  <c r="AN159" i="6"/>
  <c r="AN160" i="6"/>
  <c r="AN161" i="6"/>
  <c r="AN162" i="6"/>
  <c r="AN163" i="6"/>
  <c r="AN164" i="6"/>
  <c r="AN165" i="6"/>
  <c r="AN166" i="6"/>
  <c r="AN167" i="6"/>
  <c r="AN168" i="6"/>
  <c r="AN169" i="6"/>
  <c r="AN170" i="6"/>
  <c r="AN171" i="6"/>
  <c r="AN172" i="6"/>
  <c r="AN173" i="6"/>
  <c r="AN174" i="6"/>
  <c r="AN175" i="6"/>
  <c r="AN176" i="6"/>
  <c r="AN177" i="6"/>
  <c r="AN178" i="6"/>
  <c r="AN179" i="6"/>
  <c r="AN180" i="6"/>
  <c r="AN181" i="6"/>
  <c r="AN182" i="6"/>
  <c r="AN183" i="6"/>
  <c r="AN184" i="6"/>
  <c r="AN185" i="6"/>
  <c r="AN186" i="6"/>
  <c r="AN187" i="6"/>
  <c r="AN188" i="6"/>
  <c r="AN189" i="6"/>
  <c r="AN190" i="6"/>
  <c r="AN191" i="6"/>
  <c r="AN192" i="6"/>
  <c r="AN193" i="6"/>
  <c r="AN194" i="6"/>
  <c r="AN195" i="6"/>
  <c r="AN196" i="6"/>
  <c r="AN197" i="6"/>
  <c r="AN198" i="6"/>
  <c r="AN199" i="6"/>
  <c r="AN200" i="6"/>
  <c r="AN201" i="6"/>
  <c r="AN202" i="6"/>
  <c r="AN203" i="6"/>
  <c r="AN204" i="6"/>
  <c r="AN205" i="6"/>
  <c r="AN206" i="6"/>
  <c r="AN207" i="6"/>
  <c r="AN208" i="6"/>
  <c r="AN209" i="6"/>
  <c r="AN210" i="6"/>
  <c r="AN211" i="6"/>
  <c r="AN212" i="6"/>
  <c r="AN213" i="6"/>
  <c r="AN214" i="6"/>
  <c r="AN215" i="6"/>
  <c r="AN216" i="6"/>
  <c r="AN217" i="6"/>
  <c r="AN218" i="6"/>
  <c r="AN219" i="6"/>
  <c r="AN220" i="6"/>
  <c r="AN221" i="6"/>
  <c r="AN222" i="6"/>
  <c r="AN223" i="6"/>
  <c r="AN224" i="6"/>
  <c r="AN225" i="6"/>
  <c r="AN226" i="6"/>
  <c r="AN227" i="6"/>
  <c r="AN228" i="6"/>
  <c r="AN229" i="6"/>
  <c r="AN230" i="6"/>
  <c r="AN231" i="6"/>
  <c r="AN232" i="6"/>
  <c r="AN233" i="6"/>
  <c r="AN234" i="6"/>
  <c r="AN235" i="6"/>
  <c r="AN236" i="6"/>
  <c r="AN237" i="6"/>
  <c r="AN238" i="6"/>
  <c r="AN239" i="6"/>
  <c r="AN240" i="6"/>
  <c r="AN241" i="6"/>
  <c r="AN242" i="6"/>
  <c r="AN243" i="6"/>
  <c r="AN244" i="6"/>
  <c r="AN245" i="6"/>
  <c r="AN246" i="6"/>
  <c r="AN247" i="6"/>
  <c r="AN248" i="6"/>
  <c r="AN249" i="6"/>
  <c r="AN250" i="6"/>
  <c r="AN251" i="6"/>
  <c r="AN252" i="6"/>
  <c r="AN253" i="6"/>
  <c r="AN254" i="6"/>
  <c r="AN255" i="6"/>
  <c r="AN256" i="6"/>
  <c r="AN257" i="6"/>
  <c r="AN258" i="6"/>
  <c r="AN259" i="6"/>
  <c r="AN260" i="6"/>
  <c r="AN261" i="6"/>
  <c r="AN262" i="6"/>
  <c r="AN263" i="6"/>
  <c r="AN264" i="6"/>
  <c r="AN265" i="6"/>
  <c r="AN266" i="6"/>
  <c r="AN267" i="6"/>
  <c r="AN268" i="6"/>
  <c r="AN269" i="6"/>
  <c r="AN270" i="6"/>
  <c r="AN271" i="6"/>
  <c r="AN272" i="6"/>
  <c r="AN273" i="6"/>
  <c r="AN274" i="6"/>
  <c r="AN275" i="6"/>
  <c r="AN276" i="6"/>
  <c r="AN277" i="6"/>
  <c r="AN278" i="6"/>
  <c r="AN279" i="6"/>
  <c r="AN280" i="6"/>
  <c r="AN281" i="6"/>
  <c r="AN282" i="6"/>
  <c r="AN283" i="6"/>
  <c r="AN284" i="6"/>
  <c r="AN285" i="6"/>
  <c r="AN286" i="6"/>
  <c r="AN287" i="6"/>
  <c r="AN288" i="6"/>
  <c r="AN289" i="6"/>
  <c r="AN290" i="6"/>
  <c r="AN291" i="6"/>
  <c r="AN292" i="6"/>
  <c r="AN293" i="6"/>
  <c r="AN294" i="6"/>
  <c r="AN295" i="6"/>
  <c r="AN296" i="6"/>
  <c r="AN297" i="6"/>
  <c r="AN298" i="6"/>
  <c r="AN299" i="6"/>
  <c r="AN300" i="6"/>
  <c r="AN301" i="6"/>
  <c r="AN302" i="6"/>
  <c r="AN303" i="6"/>
  <c r="AN304" i="6"/>
  <c r="AN305" i="6"/>
  <c r="AN306" i="6"/>
  <c r="AN307" i="6"/>
  <c r="AN308" i="6"/>
  <c r="AN309" i="6"/>
  <c r="AN310" i="6"/>
  <c r="AN311" i="6"/>
  <c r="AN312" i="6"/>
  <c r="AN5" i="6"/>
  <c r="AM6" i="6"/>
  <c r="AM7" i="6"/>
  <c r="AM8" i="6"/>
  <c r="AM9" i="6"/>
  <c r="AM10" i="6"/>
  <c r="AM11" i="6"/>
  <c r="AM12" i="6"/>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51" i="6"/>
  <c r="AM52" i="6"/>
  <c r="AM53" i="6"/>
  <c r="AM54" i="6"/>
  <c r="AM55" i="6"/>
  <c r="AM56" i="6"/>
  <c r="AM57" i="6"/>
  <c r="AM58" i="6"/>
  <c r="AM59" i="6"/>
  <c r="AM60" i="6"/>
  <c r="AM61" i="6"/>
  <c r="AM62" i="6"/>
  <c r="AM63" i="6"/>
  <c r="AM64" i="6"/>
  <c r="AM65" i="6"/>
  <c r="AM66" i="6"/>
  <c r="AM67" i="6"/>
  <c r="AM68" i="6"/>
  <c r="AM69" i="6"/>
  <c r="AM70" i="6"/>
  <c r="AM71" i="6"/>
  <c r="AM72" i="6"/>
  <c r="AM73" i="6"/>
  <c r="AM74" i="6"/>
  <c r="AM75" i="6"/>
  <c r="AM76" i="6"/>
  <c r="AM77" i="6"/>
  <c r="AM78" i="6"/>
  <c r="AM79" i="6"/>
  <c r="AM80" i="6"/>
  <c r="AM81" i="6"/>
  <c r="AM82" i="6"/>
  <c r="AM83" i="6"/>
  <c r="AM84" i="6"/>
  <c r="AM85" i="6"/>
  <c r="AM86" i="6"/>
  <c r="AM87" i="6"/>
  <c r="AM88" i="6"/>
  <c r="AM89" i="6"/>
  <c r="AM90" i="6"/>
  <c r="AM91" i="6"/>
  <c r="AM92" i="6"/>
  <c r="AM93" i="6"/>
  <c r="AM94" i="6"/>
  <c r="AM95" i="6"/>
  <c r="AM96" i="6"/>
  <c r="AM97" i="6"/>
  <c r="AM98" i="6"/>
  <c r="AM99" i="6"/>
  <c r="AM100" i="6"/>
  <c r="AM101" i="6"/>
  <c r="AM102" i="6"/>
  <c r="AM103" i="6"/>
  <c r="AM104" i="6"/>
  <c r="AM105" i="6"/>
  <c r="AM106" i="6"/>
  <c r="AM107" i="6"/>
  <c r="AM108" i="6"/>
  <c r="AM109" i="6"/>
  <c r="AM110" i="6"/>
  <c r="AM111" i="6"/>
  <c r="AM112" i="6"/>
  <c r="AM113" i="6"/>
  <c r="AM114" i="6"/>
  <c r="AM115" i="6"/>
  <c r="AM116" i="6"/>
  <c r="AM117" i="6"/>
  <c r="AM118" i="6"/>
  <c r="AM119" i="6"/>
  <c r="AM120" i="6"/>
  <c r="AM121" i="6"/>
  <c r="AM122" i="6"/>
  <c r="AM123" i="6"/>
  <c r="AM124" i="6"/>
  <c r="AM125" i="6"/>
  <c r="AM126" i="6"/>
  <c r="AM127" i="6"/>
  <c r="AM128" i="6"/>
  <c r="AM129" i="6"/>
  <c r="AM130" i="6"/>
  <c r="AM131" i="6"/>
  <c r="AM132" i="6"/>
  <c r="AM133" i="6"/>
  <c r="AM134" i="6"/>
  <c r="AM135" i="6"/>
  <c r="AM136" i="6"/>
  <c r="AM137" i="6"/>
  <c r="AM138" i="6"/>
  <c r="AM139" i="6"/>
  <c r="AM140" i="6"/>
  <c r="AM141" i="6"/>
  <c r="AM142" i="6"/>
  <c r="AM143" i="6"/>
  <c r="AM144" i="6"/>
  <c r="AM145" i="6"/>
  <c r="AM146" i="6"/>
  <c r="AM147" i="6"/>
  <c r="AM148" i="6"/>
  <c r="AM149" i="6"/>
  <c r="AM150" i="6"/>
  <c r="AM151" i="6"/>
  <c r="AM152" i="6"/>
  <c r="AM153" i="6"/>
  <c r="AM154" i="6"/>
  <c r="AM155" i="6"/>
  <c r="AM156" i="6"/>
  <c r="AM157" i="6"/>
  <c r="AM158" i="6"/>
  <c r="AM159" i="6"/>
  <c r="AM160" i="6"/>
  <c r="AM161" i="6"/>
  <c r="AM162" i="6"/>
  <c r="AM163" i="6"/>
  <c r="AM164" i="6"/>
  <c r="AM165" i="6"/>
  <c r="AM166" i="6"/>
  <c r="AM167" i="6"/>
  <c r="AM168" i="6"/>
  <c r="AM169" i="6"/>
  <c r="AM170" i="6"/>
  <c r="AM171" i="6"/>
  <c r="AM172" i="6"/>
  <c r="AM173" i="6"/>
  <c r="AM174" i="6"/>
  <c r="AM175" i="6"/>
  <c r="AM176" i="6"/>
  <c r="AM177" i="6"/>
  <c r="AM178" i="6"/>
  <c r="AM179" i="6"/>
  <c r="AM180" i="6"/>
  <c r="AM181" i="6"/>
  <c r="AM182" i="6"/>
  <c r="AM183" i="6"/>
  <c r="AM184" i="6"/>
  <c r="AM185" i="6"/>
  <c r="AM186" i="6"/>
  <c r="AM187" i="6"/>
  <c r="AM188" i="6"/>
  <c r="AM189" i="6"/>
  <c r="AM190" i="6"/>
  <c r="AM191" i="6"/>
  <c r="AM192" i="6"/>
  <c r="AM193" i="6"/>
  <c r="AM194" i="6"/>
  <c r="AM195" i="6"/>
  <c r="AM196" i="6"/>
  <c r="AM197" i="6"/>
  <c r="AM198" i="6"/>
  <c r="AM199" i="6"/>
  <c r="AM200" i="6"/>
  <c r="AM201" i="6"/>
  <c r="AM202" i="6"/>
  <c r="AM203" i="6"/>
  <c r="AM204" i="6"/>
  <c r="AM205" i="6"/>
  <c r="AM206" i="6"/>
  <c r="AM207" i="6"/>
  <c r="AM208" i="6"/>
  <c r="AM209" i="6"/>
  <c r="AM210" i="6"/>
  <c r="AM211" i="6"/>
  <c r="AM212" i="6"/>
  <c r="AM213" i="6"/>
  <c r="AM214" i="6"/>
  <c r="AM215" i="6"/>
  <c r="AM216" i="6"/>
  <c r="AM217" i="6"/>
  <c r="AM218" i="6"/>
  <c r="AM219" i="6"/>
  <c r="AM220" i="6"/>
  <c r="AM221" i="6"/>
  <c r="AM222" i="6"/>
  <c r="AM223" i="6"/>
  <c r="AM224" i="6"/>
  <c r="AM225" i="6"/>
  <c r="AM226" i="6"/>
  <c r="AM227" i="6"/>
  <c r="AM228" i="6"/>
  <c r="AM229" i="6"/>
  <c r="AM230" i="6"/>
  <c r="AM231" i="6"/>
  <c r="AM232" i="6"/>
  <c r="AM233" i="6"/>
  <c r="AM234" i="6"/>
  <c r="AM235" i="6"/>
  <c r="AM236" i="6"/>
  <c r="AM237" i="6"/>
  <c r="AM238" i="6"/>
  <c r="AM239" i="6"/>
  <c r="AM240" i="6"/>
  <c r="AM241" i="6"/>
  <c r="AM242" i="6"/>
  <c r="AM243" i="6"/>
  <c r="AM244" i="6"/>
  <c r="AM245" i="6"/>
  <c r="AM246" i="6"/>
  <c r="AM247" i="6"/>
  <c r="AM248" i="6"/>
  <c r="AM249" i="6"/>
  <c r="AM250" i="6"/>
  <c r="AM251" i="6"/>
  <c r="AM252" i="6"/>
  <c r="AM253" i="6"/>
  <c r="AM254" i="6"/>
  <c r="AM255" i="6"/>
  <c r="AM256" i="6"/>
  <c r="AM257" i="6"/>
  <c r="AM258" i="6"/>
  <c r="AM259" i="6"/>
  <c r="AM260" i="6"/>
  <c r="AM261" i="6"/>
  <c r="AM262" i="6"/>
  <c r="AM263" i="6"/>
  <c r="AM264" i="6"/>
  <c r="AM265" i="6"/>
  <c r="AM266" i="6"/>
  <c r="AM267" i="6"/>
  <c r="AM268" i="6"/>
  <c r="AM269" i="6"/>
  <c r="AM270" i="6"/>
  <c r="AM271" i="6"/>
  <c r="AM272" i="6"/>
  <c r="AM273" i="6"/>
  <c r="AM274" i="6"/>
  <c r="AM275" i="6"/>
  <c r="AM276" i="6"/>
  <c r="AM277" i="6"/>
  <c r="AM278" i="6"/>
  <c r="AM279" i="6"/>
  <c r="AM280" i="6"/>
  <c r="AM281" i="6"/>
  <c r="AM282" i="6"/>
  <c r="AM283" i="6"/>
  <c r="AM284" i="6"/>
  <c r="AM285" i="6"/>
  <c r="AM286" i="6"/>
  <c r="AM287" i="6"/>
  <c r="AM288" i="6"/>
  <c r="AM289" i="6"/>
  <c r="AM290" i="6"/>
  <c r="AM291" i="6"/>
  <c r="AM292" i="6"/>
  <c r="AM293" i="6"/>
  <c r="AM294" i="6"/>
  <c r="AM295" i="6"/>
  <c r="AM296" i="6"/>
  <c r="AM297" i="6"/>
  <c r="AM298" i="6"/>
  <c r="AM299" i="6"/>
  <c r="AM300" i="6"/>
  <c r="AM301" i="6"/>
  <c r="AM302" i="6"/>
  <c r="AM303" i="6"/>
  <c r="AM304" i="6"/>
  <c r="AM305" i="6"/>
  <c r="AM306" i="6"/>
  <c r="AM307" i="6"/>
  <c r="AM308" i="6"/>
  <c r="AM309" i="6"/>
  <c r="AM310" i="6"/>
  <c r="AM311" i="6"/>
  <c r="AM312" i="6"/>
  <c r="AM5" i="6"/>
  <c r="N34" i="1"/>
  <c r="Q34" i="1" s="1"/>
  <c r="T34" i="1" s="1"/>
  <c r="D18" i="1"/>
  <c r="D19" i="1"/>
  <c r="D20" i="1"/>
  <c r="D21" i="1"/>
  <c r="D22" i="1"/>
  <c r="D23" i="1"/>
  <c r="D24" i="1"/>
  <c r="D25" i="1"/>
  <c r="D26" i="1"/>
  <c r="D27" i="1"/>
  <c r="D28" i="1"/>
  <c r="D17" i="1"/>
  <c r="T69" i="1" l="1"/>
  <c r="T41" i="1"/>
  <c r="T61" i="1"/>
  <c r="T53" i="1"/>
  <c r="T45" i="1"/>
  <c r="T37" i="1"/>
  <c r="T44" i="1"/>
  <c r="T60" i="1"/>
  <c r="R44" i="1"/>
  <c r="T58" i="1"/>
  <c r="T36" i="1"/>
  <c r="T67" i="1"/>
  <c r="T59" i="1"/>
  <c r="T51" i="1"/>
  <c r="T43" i="1"/>
  <c r="R43" i="1"/>
  <c r="T57" i="1"/>
  <c r="T52" i="1"/>
  <c r="R67" i="1"/>
  <c r="T50" i="1"/>
  <c r="T68" i="1"/>
  <c r="T49" i="1"/>
  <c r="R59" i="1"/>
  <c r="T66" i="1"/>
  <c r="T65" i="1"/>
  <c r="T42" i="1"/>
  <c r="R69" i="1"/>
  <c r="R61" i="1"/>
  <c r="R53" i="1"/>
  <c r="R45" i="1"/>
  <c r="R37" i="1"/>
  <c r="T72" i="1"/>
  <c r="T64" i="1"/>
  <c r="T56" i="1"/>
  <c r="T48" i="1"/>
  <c r="T40" i="1"/>
  <c r="T35" i="1"/>
  <c r="T71" i="1"/>
  <c r="T63" i="1"/>
  <c r="T55" i="1"/>
  <c r="T47" i="1"/>
  <c r="T39" i="1"/>
  <c r="T70" i="1"/>
  <c r="T62" i="1"/>
  <c r="T54" i="1"/>
  <c r="T46" i="1"/>
  <c r="T38" i="1"/>
  <c r="R34" i="1"/>
  <c r="Q32" i="1"/>
  <c r="N32" i="1"/>
  <c r="I14" i="1"/>
  <c r="J7" i="1" s="1"/>
  <c r="J10" i="1"/>
  <c r="R32" i="1" l="1"/>
  <c r="J9" i="1"/>
  <c r="T31" i="1"/>
  <c r="J8" i="1" s="1"/>
  <c r="J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Alessandra Santos da Silva</author>
  </authors>
  <commentList>
    <comment ref="AK119" authorId="0" shapeId="0" xr:uid="{83FF5478-95CD-4317-92C8-BE1099000087}">
      <text>
        <r>
          <rPr>
            <b/>
            <sz val="9"/>
            <color indexed="81"/>
            <rFont val="Segoe UI"/>
            <family val="2"/>
          </rPr>
          <t>Alessandra Santos da Silva:</t>
        </r>
        <r>
          <rPr>
            <sz val="9"/>
            <color indexed="81"/>
            <rFont val="Segoe UI"/>
            <family val="2"/>
          </rPr>
          <t xml:space="preserve">
sempre analisar o serviço, se for coleta de caçambas não tera retenção
</t>
        </r>
      </text>
    </comment>
  </commentList>
</comments>
</file>

<file path=xl/sharedStrings.xml><?xml version="1.0" encoding="utf-8"?>
<sst xmlns="http://schemas.openxmlformats.org/spreadsheetml/2006/main" count="11705" uniqueCount="2021">
  <si>
    <t>Empresa</t>
  </si>
  <si>
    <t>CIA</t>
  </si>
  <si>
    <t>Planta</t>
  </si>
  <si>
    <t>Municipio</t>
  </si>
  <si>
    <t>UF</t>
  </si>
  <si>
    <t>CNPJ</t>
  </si>
  <si>
    <t>BR10</t>
  </si>
  <si>
    <t>0033</t>
  </si>
  <si>
    <t>Top RJ</t>
  </si>
  <si>
    <t>Rio de Janeiro</t>
  </si>
  <si>
    <t>RJ</t>
  </si>
  <si>
    <t>0050</t>
  </si>
  <si>
    <t>Top Salvador</t>
  </si>
  <si>
    <t>Salvador</t>
  </si>
  <si>
    <t>BA</t>
  </si>
  <si>
    <t>0063</t>
  </si>
  <si>
    <t>Outlet Belo Horizonte</t>
  </si>
  <si>
    <t>Belo Horizonte</t>
  </si>
  <si>
    <t>MG</t>
  </si>
  <si>
    <t>0060</t>
  </si>
  <si>
    <t>Outlet 3 (Porto Belo)</t>
  </si>
  <si>
    <t>Porto Belo</t>
  </si>
  <si>
    <t>SC</t>
  </si>
  <si>
    <t>0064</t>
  </si>
  <si>
    <t>Outlet Feira de Santana</t>
  </si>
  <si>
    <t>Feira de Santana</t>
  </si>
  <si>
    <t>0061</t>
  </si>
  <si>
    <t>Outlet 4 (Florianopolis)</t>
  </si>
  <si>
    <t>Florianópolis</t>
  </si>
  <si>
    <t>0001</t>
  </si>
  <si>
    <t>Guabirotuba</t>
  </si>
  <si>
    <t>Curitiba</t>
  </si>
  <si>
    <t>PR</t>
  </si>
  <si>
    <t>0019</t>
  </si>
  <si>
    <t>Disc SJP</t>
  </si>
  <si>
    <t>São José dos Pinhais</t>
  </si>
  <si>
    <t>0021</t>
  </si>
  <si>
    <t>CIC</t>
  </si>
  <si>
    <t>0035</t>
  </si>
  <si>
    <t>Gralha Azul</t>
  </si>
  <si>
    <t>0039</t>
  </si>
  <si>
    <t>0040</t>
  </si>
  <si>
    <t>0042</t>
  </si>
  <si>
    <t>0062</t>
  </si>
  <si>
    <t>Reengenharia SJP</t>
  </si>
  <si>
    <t>0066</t>
  </si>
  <si>
    <t>COP - Escritorio</t>
  </si>
  <si>
    <t>0067</t>
  </si>
  <si>
    <t>OUTLET -  Campo Largo</t>
  </si>
  <si>
    <t>Campo Largo</t>
  </si>
  <si>
    <t>0052</t>
  </si>
  <si>
    <t>Outlet 1 - Barigui</t>
  </si>
  <si>
    <t>0053</t>
  </si>
  <si>
    <t>Outlet 2 - Cajuru</t>
  </si>
  <si>
    <t>0065</t>
  </si>
  <si>
    <t>Outlet - Distrito Federal</t>
  </si>
  <si>
    <t>Brasilia</t>
  </si>
  <si>
    <t>DF</t>
  </si>
  <si>
    <t>BR12</t>
  </si>
  <si>
    <t>Loja - curitiba</t>
  </si>
  <si>
    <t>0005</t>
  </si>
  <si>
    <t>Loja (CIC)</t>
  </si>
  <si>
    <t>0003</t>
  </si>
  <si>
    <t>Loja  -Alhandra</t>
  </si>
  <si>
    <t>Alhandra</t>
  </si>
  <si>
    <t>PB</t>
  </si>
  <si>
    <t>0026</t>
  </si>
  <si>
    <t xml:space="preserve">TOP SP </t>
  </si>
  <si>
    <t>São Paulo</t>
  </si>
  <si>
    <t>SP</t>
  </si>
  <si>
    <t>0027</t>
  </si>
  <si>
    <t>Top SP - Verbo Divino</t>
  </si>
  <si>
    <t>0045</t>
  </si>
  <si>
    <t>TOP AM</t>
  </si>
  <si>
    <t>Manaus</t>
  </si>
  <si>
    <t>AM</t>
  </si>
  <si>
    <t>0002</t>
  </si>
  <si>
    <t>Fábrica - São Carlos</t>
  </si>
  <si>
    <t>São Carlos</t>
  </si>
  <si>
    <t>76487032000206</t>
  </si>
  <si>
    <t>0011</t>
  </si>
  <si>
    <t>Vila Izabel</t>
  </si>
  <si>
    <t>76487032001105</t>
  </si>
  <si>
    <t>0043</t>
  </si>
  <si>
    <t>Armazém - São Carlos</t>
  </si>
  <si>
    <t>Agua Vermelha</t>
  </si>
  <si>
    <t>76487032004384</t>
  </si>
  <si>
    <t>0044</t>
  </si>
  <si>
    <t>CRP São Carlos</t>
  </si>
  <si>
    <t>76487032004465</t>
  </si>
  <si>
    <t>Loja - São Carlos</t>
  </si>
  <si>
    <t>Loja Electrolux</t>
  </si>
  <si>
    <t>13986197000202</t>
  </si>
  <si>
    <t>Fábrica - Manaus</t>
  </si>
  <si>
    <t>Outlet - São Roque</t>
  </si>
  <si>
    <t>0068</t>
  </si>
  <si>
    <t>Outlet - Alhandra</t>
  </si>
  <si>
    <t>Selecione a Filial:</t>
  </si>
  <si>
    <t xml:space="preserve">CNPJ </t>
  </si>
  <si>
    <t>Informe CNPJ</t>
  </si>
  <si>
    <t>Nome fantasia</t>
  </si>
  <si>
    <t>Razão Social</t>
  </si>
  <si>
    <t>Endereço</t>
  </si>
  <si>
    <t>Estado</t>
  </si>
  <si>
    <t>Cidade</t>
  </si>
  <si>
    <t>Preenchimento de endereço</t>
  </si>
  <si>
    <t>Email</t>
  </si>
  <si>
    <t>Contatos</t>
  </si>
  <si>
    <t>Dados do Fornecedor</t>
  </si>
  <si>
    <t>Dados da Electrolux</t>
  </si>
  <si>
    <t>PRENCHIMENTO PARA FONECEDORES DE SERVIÇOS</t>
  </si>
  <si>
    <t>Valor líquido a receber</t>
  </si>
  <si>
    <t>Total Serviço:</t>
  </si>
  <si>
    <t>Total Material:</t>
  </si>
  <si>
    <t>Valor unitário</t>
  </si>
  <si>
    <t>Descrição</t>
  </si>
  <si>
    <t>Regime</t>
  </si>
  <si>
    <t>Código SAP</t>
  </si>
  <si>
    <t>Código do serviço</t>
  </si>
  <si>
    <t>Código ou descrição do item</t>
  </si>
  <si>
    <t>Quantidade</t>
  </si>
  <si>
    <t>Prazo de entrega</t>
  </si>
  <si>
    <t>CFOP</t>
  </si>
  <si>
    <t>NCM</t>
  </si>
  <si>
    <t>IPI %</t>
  </si>
  <si>
    <t>ICMS %</t>
  </si>
  <si>
    <t xml:space="preserve">ICMS ST </t>
  </si>
  <si>
    <t>Valor total</t>
  </si>
  <si>
    <t>Data emissão</t>
  </si>
  <si>
    <t>Frete</t>
  </si>
  <si>
    <t>Prazo de pagamento</t>
  </si>
  <si>
    <t>validar Preenchimento</t>
  </si>
  <si>
    <t>Bairro</t>
  </si>
  <si>
    <t>CEP</t>
  </si>
  <si>
    <t>Titulo</t>
  </si>
  <si>
    <t>TIPO DE FORNECIMENTO</t>
  </si>
  <si>
    <t>Valor icms</t>
  </si>
  <si>
    <t>Valor IPI</t>
  </si>
  <si>
    <t>Unidade de medida</t>
  </si>
  <si>
    <t>TOTAL</t>
  </si>
  <si>
    <t>Código Atividade</t>
  </si>
  <si>
    <t xml:space="preserve">Código </t>
  </si>
  <si>
    <t>Atividade</t>
  </si>
  <si>
    <t xml:space="preserve">Descrição </t>
  </si>
  <si>
    <t>0101 Análise e desenvolvimento de sistemas</t>
  </si>
  <si>
    <t>01.01</t>
  </si>
  <si>
    <t>Análise e desenvolvimento de sistemas</t>
  </si>
  <si>
    <t>Análise e desenvolvimento de sistemas.</t>
  </si>
  <si>
    <t>0102 Programação</t>
  </si>
  <si>
    <t>01.02</t>
  </si>
  <si>
    <t>Programação</t>
  </si>
  <si>
    <t>Programação.</t>
  </si>
  <si>
    <t>0103 Processamento, armazenamento ou hospedagem de dados, textos, imagens, vídeos, páginas eletrônicas, aplicativos e sistemas de informação, entre outros formatos, e congêneres. (Redação dada pela Lei Complementar nº 157, de 2016)</t>
  </si>
  <si>
    <t>01.03</t>
  </si>
  <si>
    <t>Processamento, armazenamento ou hospedagem de dados, textos, imagens, vídeos, páginas eletrônicas, aplicativos e sistemas de informação, entre outros formatos, e congêneres. (Redação dada pela Lei Complementar nº 157, de 2016)</t>
  </si>
  <si>
    <t>0104 Elaboração de programas de computadores, inclusive de jogos eletrônicos, independentemente da arquitetura construtiva da máquina em que o programa será executado, incluindo tablets, smartphones e congêneres. (Redação dada pela Lei Complementar nº 157</t>
  </si>
  <si>
    <t>01.04</t>
  </si>
  <si>
    <t>Elaboração de programas de computadores, inclusive de jogos eletrônicos, independentemente da arquitetura construtiva da máquina em que o programa será executado, incluindo tablets, smartphones e congêneres. (Redação dada pela Lei Complementar nº 157</t>
  </si>
  <si>
    <t>Elaboração de programas de computadores, inclusive de jogos eletrônicos, independentemente da arquitetura construtiva da máquina em que o programa será executado, incluindo tablets, smartphones e congêneres. (Redação dada pela Lei Complementar nº 157, d</t>
  </si>
  <si>
    <t>0105 Licenciamento ou cessão de direito de uso de programas de computação.</t>
  </si>
  <si>
    <t>01.05</t>
  </si>
  <si>
    <t>Licenciamento ou cessão de direito de uso de programas de computação.</t>
  </si>
  <si>
    <t>0106 Assessoria e consultoria em informática.</t>
  </si>
  <si>
    <t>01.06</t>
  </si>
  <si>
    <t>Assessoria e consultoria em informática.</t>
  </si>
  <si>
    <t>0107 Suporte técnico em informática, inclusive instalação, configuração e manutenção de programas de computação e bancos de dados</t>
  </si>
  <si>
    <t>01.07</t>
  </si>
  <si>
    <t>Suporte técnico em informática, inclusive instalação, configuração e manutenção de programas de computação e bancos de dados</t>
  </si>
  <si>
    <t>Suporte técnico em informática, inclusive instalação, configuração e manutenção de programas de computação e bancos de dados.</t>
  </si>
  <si>
    <t>0108 Planejamento, confecção, manutenção e atualização de páginas eletrônicas</t>
  </si>
  <si>
    <t>01.08</t>
  </si>
  <si>
    <t>Planejamento, confecção, manutenção e atualização de páginas eletrônicas</t>
  </si>
  <si>
    <t>Planejamento, confecção, manutenção e atualização de páginas eletrônicas.</t>
  </si>
  <si>
    <t>0109 Disponibilização, sem cessão definitiva, de conteúdos de áudio, vídeo, imagem e texto por meio da internet, respeitada a imunidade de livros, jornais e periódicos (exceto a distribuição de conteúdos pelas prestadoras de Serviço de Acesso Condicionado</t>
  </si>
  <si>
    <t>01.09</t>
  </si>
  <si>
    <t>Disponibilização, sem cessão definitiva, de conteúdos de áudio, vídeo, imagem e texto por meio da internet, respeitada a imunidade de livros, jornais e periódicos (exceto a distribuição de conteúdos pelas prestadoras de Serviço de Acesso Condicionado</t>
  </si>
  <si>
    <t>Disponibilização, sem cessão definitiva, de conteúdos de áudio, vídeo, imagem e texto por meio da internet, respeitada a imunidade de livros, jornais e periódicos (exceto a distribuição de conteúdos pelas prestadoras de Serviço de Acesso Condicionado, d</t>
  </si>
  <si>
    <t>0201 Serviços de pesquisas e desenvolvimento de qualquer natureza</t>
  </si>
  <si>
    <t>02.01</t>
  </si>
  <si>
    <t>Serviços de pesquisas e desenvolvimento de qualquer natureza</t>
  </si>
  <si>
    <t>Serviços de pesquisas e desenvolvimento de qualquer natureza.</t>
  </si>
  <si>
    <t>0302 Cessão de direito de uso de marcas e de sinais de propaganda</t>
  </si>
  <si>
    <t>03.02</t>
  </si>
  <si>
    <t>Cessão de direito de uso de marcas e de sinais de propaganda</t>
  </si>
  <si>
    <t>Cessão de direito de uso de marcas e de sinais de propaganda.</t>
  </si>
  <si>
    <t>0303 Exploração de salões de festas, centro de convenções, escritórios virtuais, stands, quadras esportivas, estádios, ginásios, auditórios, casas de espetáculos,</t>
  </si>
  <si>
    <t>03.03</t>
  </si>
  <si>
    <t>Exploração de salões de festas, centro de convenções, escritórios virtuais, stands, quadras esportivas, estádios, ginásios, auditórios, casas de espetáculos,</t>
  </si>
  <si>
    <t>Exploração de salões de festas, centro de convenções, escritórios virtuais, stands, quadras esportivas, estádios, ginásios, auditórios, casas de espetáculos, parques de diversões, canchas e congêneres, para realização de eventos ou negócios de qualquer natureza.</t>
  </si>
  <si>
    <t>0304 Locação, sublocação, arrendamento, direito de passagem ou permissão de uso, compartilhado ou não, de ferrovia, rodovia, postes, cabos, dutos e condutos de</t>
  </si>
  <si>
    <t>03.04</t>
  </si>
  <si>
    <t>Locação, sublocação, arrendamento, direito de passagem ou permissão de uso, compartilhado ou não, de ferrovia, rodovia, postes, cabos, dutos e condutos de</t>
  </si>
  <si>
    <t>Locação, sublocação, arrendamento, direito de passagem ou permissão de uso, compartilhado ou não, de ferrovia, rodovia, postes, cabos, dutos e condutos de qualquer natureza.</t>
  </si>
  <si>
    <t>0305 Cessão de andaimes, palcos, coberturas e outras estruturas de uso temporário.</t>
  </si>
  <si>
    <t>03.05</t>
  </si>
  <si>
    <t>Cessão de andaimes, palcos, coberturas e outras estruturas de uso temporário.</t>
  </si>
  <si>
    <t>0401 Medicina e biomedicina.</t>
  </si>
  <si>
    <t>04.01</t>
  </si>
  <si>
    <t>Medicina e biomedicina.</t>
  </si>
  <si>
    <t>0402 Análises clínicas, patologia, eletricidade médica, radioterapia, quimioterapia, ultrasonografia, ressonância magnética, radiologia, tomografia e congêneres.</t>
  </si>
  <si>
    <t>04.02</t>
  </si>
  <si>
    <t>Análises clínicas, patologia, eletricidade médica, radioterapia, quimioterapia, ultrasonografia, ressonância magnética, radiologia, tomografia e congêneres.</t>
  </si>
  <si>
    <t>0403 Hospitais, clínicas, laboratórios, sanatórios, manicômios, casas de saúde, prontossocorros, ambulatórios e congêneres.</t>
  </si>
  <si>
    <t>04.03</t>
  </si>
  <si>
    <t>Hospitais, clínicas, laboratórios, sanatórios, manicômios, casas de saúde, prontossocorros, ambulatórios e congêneres.</t>
  </si>
  <si>
    <t>0404 Instrumentação cirúrgica.</t>
  </si>
  <si>
    <t>04.04</t>
  </si>
  <si>
    <t>Instrumentação cirúrgica.</t>
  </si>
  <si>
    <t>0405 Acupuntura.</t>
  </si>
  <si>
    <t>04.05</t>
  </si>
  <si>
    <t>Acupuntura.</t>
  </si>
  <si>
    <t>0406 Enfermagem, inclusive serviços auxiliares.</t>
  </si>
  <si>
    <t>04.06</t>
  </si>
  <si>
    <t>Enfermagem, inclusive serviços auxiliares.</t>
  </si>
  <si>
    <t>0407 Serviços farmacêuticos.</t>
  </si>
  <si>
    <t>04.07</t>
  </si>
  <si>
    <t>Serviços farmacêuticos.</t>
  </si>
  <si>
    <t>0408 Terapia ocupacional, fisioterapia e fonoaudiologia.</t>
  </si>
  <si>
    <t>04.08</t>
  </si>
  <si>
    <t>Terapia ocupacional, fisioterapia e fonoaudiologia.</t>
  </si>
  <si>
    <t>0409 Terapias de qualquer espécie destinadas ao tratamento físico, orgânico e mental.</t>
  </si>
  <si>
    <t>04.09</t>
  </si>
  <si>
    <t>Terapias de qualquer espécie destinadas ao tratamento físico, orgânico e mental.</t>
  </si>
  <si>
    <t>0410 Nutrição.</t>
  </si>
  <si>
    <t>04.10</t>
  </si>
  <si>
    <t>Nutrição.</t>
  </si>
  <si>
    <t>0411 Obstetrícia.</t>
  </si>
  <si>
    <t>04.11</t>
  </si>
  <si>
    <t>Obstetrícia.</t>
  </si>
  <si>
    <t>0412 Odontologia.</t>
  </si>
  <si>
    <t>04.12</t>
  </si>
  <si>
    <t>Odontologia.</t>
  </si>
  <si>
    <t>0413 Ortóptica.</t>
  </si>
  <si>
    <t>04.13</t>
  </si>
  <si>
    <t>Ortóptica.</t>
  </si>
  <si>
    <t>0414 Próteses sob encomenda.</t>
  </si>
  <si>
    <t>04.14</t>
  </si>
  <si>
    <t>Próteses sob encomenda.</t>
  </si>
  <si>
    <t>0415 Psicanálise.</t>
  </si>
  <si>
    <t>04.15</t>
  </si>
  <si>
    <t>Psicanálise.</t>
  </si>
  <si>
    <t>0416 Psicologia.</t>
  </si>
  <si>
    <t>04.16</t>
  </si>
  <si>
    <t>Psicologia.</t>
  </si>
  <si>
    <t>0417 Casas de repouso e de recuperação, creches, asilos e congêneres.</t>
  </si>
  <si>
    <t>04.17</t>
  </si>
  <si>
    <t>Casas de repouso e de recuperação, creches, asilos e congêneres.</t>
  </si>
  <si>
    <t>0418 Inseminação artificial, fertilização in vitro e congêneres.</t>
  </si>
  <si>
    <t>04.18</t>
  </si>
  <si>
    <t>Inseminação artificial, fertilização in vitro e congêneres.</t>
  </si>
  <si>
    <t>0419 Bancos de sangue, leite, pele, olhos, óvulos, sêmen e congêneres.</t>
  </si>
  <si>
    <t>04.19</t>
  </si>
  <si>
    <t>Bancos de sangue, leite, pele, olhos, óvulos, sêmen e congêneres.</t>
  </si>
  <si>
    <t>0420 Coleta de sangue, leite, tecidos, sêmen, órgãos e materiais biológicos de qualquer espécie.</t>
  </si>
  <si>
    <t>04.20</t>
  </si>
  <si>
    <t>Coleta de sangue, leite, tecidos, sêmen, órgãos e materiais biológicos de qualquer espécie.</t>
  </si>
  <si>
    <t>0421 Unidade de atendimento, assistência ou tratamento móvel e congêneres.</t>
  </si>
  <si>
    <t>04.21</t>
  </si>
  <si>
    <t>Unidade de atendimento, assistência ou tratamento móvel e congêneres.</t>
  </si>
  <si>
    <t>0422 Planos de medicina de grupo ou individual e convênios para prestação de assistência médica, hospitalar, odontológica e congêneres.</t>
  </si>
  <si>
    <t>04.22</t>
  </si>
  <si>
    <t>Planos de medicina de grupo ou individual e convênios para prestação de assistência médica, hospitalar, odontológica e congêneres.</t>
  </si>
  <si>
    <t>0423 Outros planos de saúde que se cumpram através de serviços de terceiros contratados, credenciados, cooperados ou apenas pagos pelo operador do plano mediante indicação do beneficiário.</t>
  </si>
  <si>
    <t>04.23</t>
  </si>
  <si>
    <t>Outros planos de saúde que se cumpram através de serviços de terceiros contratados, credenciados, cooperados ou apenas pagos pelo operador do plano mediante indicação do beneficiário.</t>
  </si>
  <si>
    <t>0501 Medicina veterinária e zootecnia.</t>
  </si>
  <si>
    <t>05.01</t>
  </si>
  <si>
    <t>Medicina veterinária e zootecnia.</t>
  </si>
  <si>
    <t>0502 Hospitais, clínicas, ambulatórios, prontossocorros e congêneres, na área veterinária.</t>
  </si>
  <si>
    <t>05.02</t>
  </si>
  <si>
    <t>Hospitais, clínicas, ambulatórios, prontossocorros e congêneres, na área veterinária.</t>
  </si>
  <si>
    <t>0503 Laboratórios de análise na área veterinária.</t>
  </si>
  <si>
    <t>05.03</t>
  </si>
  <si>
    <t>Laboratórios de análise na área veterinária.</t>
  </si>
  <si>
    <t>0504 Laboratórios de análise na área veterinária.</t>
  </si>
  <si>
    <t>05.04</t>
  </si>
  <si>
    <t>0505 Bancos de sangue e de órgãos e congêneres.</t>
  </si>
  <si>
    <t>05.05</t>
  </si>
  <si>
    <t>Bancos de sangue e de órgãos e congêneres.</t>
  </si>
  <si>
    <t>0506 Coleta de sangue, leite, tecidos, sêmen, órgãos e materiais biológicos de qualquer espécie.</t>
  </si>
  <si>
    <t>05.06</t>
  </si>
  <si>
    <t>0507 Unidade de atendimento, assistência ou tratamento móvel e congêneres.</t>
  </si>
  <si>
    <t>05.07</t>
  </si>
  <si>
    <t>0508 Guarda, tratamento, amestramento, embelezamento, alojamento e congêneres.</t>
  </si>
  <si>
    <t>05.08</t>
  </si>
  <si>
    <t>Guarda, tratamento, amestramento, embelezamento, alojamento e congêneres.</t>
  </si>
  <si>
    <t>0509 Planos de atendimento e assistência médicoveterinária.</t>
  </si>
  <si>
    <t>05.09</t>
  </si>
  <si>
    <t>Planos de atendimento e assistência médicoveterinária.</t>
  </si>
  <si>
    <t>0601 Barbearia, cabeleireiros, manicuros, pedicuros e congêneres.</t>
  </si>
  <si>
    <t>06.01</t>
  </si>
  <si>
    <t>Barbearia, cabeleireiros, manicuros, pedicuros e congêneres.</t>
  </si>
  <si>
    <t>0602 Esteticistas, tratamento de pele, depilação e congêneres.</t>
  </si>
  <si>
    <t>06.02</t>
  </si>
  <si>
    <t>Esteticistas, tratamento de pele, depilação e congêneres.</t>
  </si>
  <si>
    <t>0603 Banhos, duchas, sauna, massagens e congêneres.</t>
  </si>
  <si>
    <t>06.03</t>
  </si>
  <si>
    <t>Banhos, duchas, sauna, massagens e congêneres.</t>
  </si>
  <si>
    <t>0604 Ginástica, dança, esportes, natação, artes marciais e demais atividades físicas.</t>
  </si>
  <si>
    <t>06.04</t>
  </si>
  <si>
    <t>Ginástica, dança, esportes, natação, artes marciais e demais atividades físicas.</t>
  </si>
  <si>
    <t>0605 Centros de emagrecimento, spa e congêneres.</t>
  </si>
  <si>
    <t>06.05</t>
  </si>
  <si>
    <t>Centros de emagrecimento, spa e congêneres.</t>
  </si>
  <si>
    <t>0606 Aplicação de tatuagens, piercings e congêneres.  (Incluído pela Lei Complementar nº 157, de 2016)</t>
  </si>
  <si>
    <t>06.06</t>
  </si>
  <si>
    <t>Aplicação de tatuagens, piercings e congêneres.  (Incluído pela Lei Complementar nº 157, de 2016)</t>
  </si>
  <si>
    <t>0701 Engenharia, agronomia, agrimensura, arquitetura, geologia, urbanismo, paisagismo e congêneres.</t>
  </si>
  <si>
    <t>07.01</t>
  </si>
  <si>
    <t>Engenharia, agronomia, agrimensura, arquitetura, geologia, urbanismo, paisagismo e congêneres.</t>
  </si>
  <si>
    <t>0702 Execução, por administração, empreitada ou subempreitada, de obras de construção civil, hidráulica ou elétrica e de outras obras semelhantes, inclusive sondagem, perfuração de poços, escavação, drenagem e irrigação, terraplanagem, pavimentação, concretagem e a instalação e montagem de produtos, peças e equipamentos (exceto o fornecimento de mercadorias produzidas pelo prestador de serviços fora do local da prestação dos serviços, que fica sujeito ao ICMS).</t>
  </si>
  <si>
    <t>07.02</t>
  </si>
  <si>
    <t>Execução, por administração, empreitada ou subempreitada, de obras de construção civil, hidráulica ou elétrica e de outras obras semelhantes, inclusive sondagem, perfuração de poços, escavação, drenagem e irrigação, terraplanagem, pavimentação, concretagem e a instalação e montagem de produtos, peças e equipamentos (exceto o fornecimento de mercadorias produzidas pelo prestador de serviços fora do local da prestação dos serviços, que fica sujeito ao ICMS).</t>
  </si>
  <si>
    <t>0703 Elaboração de planos diretores, estudos de viabilidade, estudos organizacionais e outros, relacionados com obras e serviços de engenharia; elaboração de</t>
  </si>
  <si>
    <t>07.03</t>
  </si>
  <si>
    <t>Elaboração de planos diretores, estudos de viabilidade, estudos organizacionais e outros, relacionados com obras e serviços de engenharia; elaboração de</t>
  </si>
  <si>
    <t>Elaboração de planos diretores, estudos de viabilidade, estudos organizacionais e outros, relacionados com obras e serviços de engenharia; elaboração de anteprojetos, projetos básicos e projetos executivos para trabalhos de engenharia.</t>
  </si>
  <si>
    <t>0704 Demolição.</t>
  </si>
  <si>
    <t>07.04</t>
  </si>
  <si>
    <t>Demolição.</t>
  </si>
  <si>
    <t>0705 Reparação, conservação e reforma de edifícios, estradas, pontes, portos e congêneres (exceto o fornecimento de mercadorias produzidas pelo prestador dos</t>
  </si>
  <si>
    <t>07.05</t>
  </si>
  <si>
    <t>Reparação, conservação e reforma de edifícios, estradas, pontes, portos e congêneres (exceto o fornecimento de mercadorias produzidas pelo prestador dos</t>
  </si>
  <si>
    <t>Reparação, conservação e reforma de edifícios, estradas, pontes, portos e congêneres (exceto o fornecimento de mercadorias produzidas pelo prestador dos serviços, fora do local da prestação dos serviços, que fica sujeito ao ICMS).</t>
  </si>
  <si>
    <t>0706 Colocação e instalação de tapetes, carpetes, assoalhos, cortinas, revestimentos de parede, vidros, divisórias, placas de gesso e congêneres, com material</t>
  </si>
  <si>
    <t>07.06</t>
  </si>
  <si>
    <t>Colocação e instalação de tapetes, carpetes, assoalhos, cortinas, revestimentos de parede, vidros, divisórias, placas de gesso e congêneres, com material</t>
  </si>
  <si>
    <t>Colocação e instalação de tapetes, carpetes, assoalhos, cortinas, revestimentos de parede, vidros, divisórias, placas de gesso e congêneres, com material fornecido pelo tomador do serviço.</t>
  </si>
  <si>
    <t>0707 Recuperação, raspagem, polimento e lustração de pisos e congêneres.</t>
  </si>
  <si>
    <t>07.07</t>
  </si>
  <si>
    <t>Recuperação, raspagem, polimento e lustração de pisos e congêneres.</t>
  </si>
  <si>
    <t>0708 Calafetação.</t>
  </si>
  <si>
    <t>07.08</t>
  </si>
  <si>
    <t>Calafetação.</t>
  </si>
  <si>
    <t>0709 Varrição, coleta, remoção, incineração, tratamento, reciclagem, separação e destinação final de lixo, rejeitos e outros resíduos quaisquer.</t>
  </si>
  <si>
    <t>07.09</t>
  </si>
  <si>
    <t>Varrição, coleta, remoção, incineração, tratamento, reciclagem, separação e destinação final de lixo, rejeitos e outros resíduos quaisquer.</t>
  </si>
  <si>
    <t>0710 Limpeza, manutenção e conservação de vias e logradouros públicos, imóveis, chaminés, piscinas, parques, jardins e congêneres.</t>
  </si>
  <si>
    <t>07.10</t>
  </si>
  <si>
    <t>Limpeza, manutenção e conservação de vias e logradouros públicos, imóveis, chaminés, piscinas, parques, jardins e congêneres.</t>
  </si>
  <si>
    <t>0711 Decoração e jardinagem, inclusive corte e poda de árvores.</t>
  </si>
  <si>
    <t>07.11</t>
  </si>
  <si>
    <t>Decoração e jardinagem, inclusive corte e poda de árvores.</t>
  </si>
  <si>
    <t>0712 Controle e tratamento de efluentes de qualquer natureza e de agentes físicos, químicos e biológicos.</t>
  </si>
  <si>
    <t>07.12</t>
  </si>
  <si>
    <t>Controle e tratamento de efluentes de qualquer natureza e de agentes físicos, químicos e biológicos.</t>
  </si>
  <si>
    <t>0713 Dedetização, desinfecção, desinsetização, imunização, higienização, desratização, pulverização e congêneres.</t>
  </si>
  <si>
    <t>07.13</t>
  </si>
  <si>
    <t>Dedetização, desinfecção, desinsetização, imunização, higienização, desratização, pulverização e congêneres.</t>
  </si>
  <si>
    <t>0716 Florestamento, reflorestamento, semeadura, adubação, reparação de solo, plantio, silagem, colheita, corte e descascamento de árvores, silvicultura, exploração florestal e dos serviços congêneres indissociáveis da formação, manutenção e colheita de flores</t>
  </si>
  <si>
    <t>07.16</t>
  </si>
  <si>
    <t>Florestamento, reflorestamento, semeadura, adubação, reparação de solo, plantio, silagem, colheita, corte e descascamento de árvores, silvicultura, exploração florestal e dos serviços congêneres indissociáveis da formação, manutenção e colheita de flores</t>
  </si>
  <si>
    <t>Florestamento, reflorestamento, semeadura, adubação, reparação de solo, plantio, silagem, colheita, corte e descascamento de árvores, silvicultura, exploração florestal e dos serviços congêneres indissociáveis da formação, manutenção e colheita de flore</t>
  </si>
  <si>
    <t>0717 Escoramento, contenção de encostas e serviços congêneres.</t>
  </si>
  <si>
    <t>07.17</t>
  </si>
  <si>
    <t>Escoramento, contenção de encostas e serviços congêneres.</t>
  </si>
  <si>
    <t>0718 Limpeza e dragagem de rios, portos, canais, baías, lagos, lagoas, represas, açudes e congêneres.</t>
  </si>
  <si>
    <t>07.18</t>
  </si>
  <si>
    <t>Limpeza e dragagem de rios, portos, canais, baías, lagos, lagoas, represas, açudes e congêneres.</t>
  </si>
  <si>
    <t>0719 Acompanhamento e fiscalização da execução de obras de engenharia, arquitetura e urbanismo.</t>
  </si>
  <si>
    <t>07.19</t>
  </si>
  <si>
    <t>Acompanhamento e fiscalização da execução de obras de engenharia, arquitetura e urbanismo.</t>
  </si>
  <si>
    <t>0720 Aerofotogrametria (inclusive interpretação), cartografia, mapeamento, levantamentos topográficos, batimétricos, geográficos, geodésicos, geológicos, geofísicos e congêneres.</t>
  </si>
  <si>
    <t>07.20</t>
  </si>
  <si>
    <t>Aerofotogrametria (inclusive interpretação), cartografia, mapeamento, levantamentos topográficos, batimétricos, geográficos, geodésicos, geológicos, geofísicos e congêneres.</t>
  </si>
  <si>
    <t>0721 Pesquisa, perfuração, cimentação, mergulho, perfilagem, concretação, testemunhagem, pescaria, estimulação e outros serviços relacionados com a exploração e explotação de petróleo, gás natural e de outros recursos minerais.</t>
  </si>
  <si>
    <t>07.21</t>
  </si>
  <si>
    <t>Pesquisa, perfuração, cimentação, mergulho, perfilagem, concretação, testemunhagem, pescaria, estimulação e outros serviços relacionados com a exploração e explotação de petróleo, gás natural e de outros recursos minerais.</t>
  </si>
  <si>
    <t>0722 Nucleação e bombardeamento de nuvens e congêneres.</t>
  </si>
  <si>
    <t>07.22</t>
  </si>
  <si>
    <t>Nucleação e bombardeamento de nuvens e congêneres.</t>
  </si>
  <si>
    <t>0801 Ensino regular préescolar, fundamental, médio e superior.</t>
  </si>
  <si>
    <t>08.01</t>
  </si>
  <si>
    <t>Ensino regular préescolar, fundamental, médio e superior.</t>
  </si>
  <si>
    <t>0802 Instrução, treinamento, orientação pedagógica e educacional, avaliação de conhecimentos de qualquer natureza.</t>
  </si>
  <si>
    <t>08.02</t>
  </si>
  <si>
    <t>Instrução, treinamento, orientação pedagógica e educacional, avaliação de conhecimentos de qualquer natureza.</t>
  </si>
  <si>
    <t>0901 Hospedagem de qualquer natureza em hotéis, apartservice condominiais, flat, aparthotéis, hotéis residência, residenceservice, suite service, hotelaria marítima, motéis, pensões e congêneres; ocupação por temporada com fornecimento de serviço (o valor da alimentação e gorjeta, quando incluído no preço da diária, fica sujeito ao Imposto Sobre Serviços).</t>
  </si>
  <si>
    <t>09.01</t>
  </si>
  <si>
    <t>Hospedagem de qualquer natureza em hotéis, apartservice condominiais, flat, aparthotéis, hotéis residência, residenceservice, suite service, hotelaria marítima, motéis, pensões e congêneres; ocupação por temporada com fornecimento de serviço (o valor da alimentação e gorjeta, quando incluído no preço da diária, fica sujeito ao Imposto Sobre Serviços).</t>
  </si>
  <si>
    <t>0902 Agenciamento, organização, promoção, intermediação e execução de programas de turismo, passeios, viagens, excursões, hospedagens e congêneres.</t>
  </si>
  <si>
    <t>09.02</t>
  </si>
  <si>
    <t>Agenciamento, organização, promoção, intermediação e execução de programas de turismo, passeios, viagens, excursões, hospedagens e congêneres.</t>
  </si>
  <si>
    <t>0903 Guias de turismo.</t>
  </si>
  <si>
    <t>09.03</t>
  </si>
  <si>
    <t>Guias de turismo.</t>
  </si>
  <si>
    <t>1001 Agenciamento, corretagem ou intermediação de câmbio, de seguros, de cartões de crédito, de planos de saúde e de planos de previdência privada.</t>
  </si>
  <si>
    <t>10.01</t>
  </si>
  <si>
    <t>Agenciamento, corretagem ou intermediação de câmbio, de seguros, de cartões de crédito, de planos de saúde e de planos de previdência privada.</t>
  </si>
  <si>
    <t>1002 Agenciamento, corretagem ou intermediação de títulos em geral, valores mobiliários e contratos quaisquer.</t>
  </si>
  <si>
    <t>10.02</t>
  </si>
  <si>
    <t>Agenciamento, corretagem ou intermediação de títulos em geral, valores mobiliários e contratos quaisquer.</t>
  </si>
  <si>
    <t>1003 Agenciamento, corretagem ou intermediação de direitos de propriedade industrial, artística ou literária.</t>
  </si>
  <si>
    <t>10.03</t>
  </si>
  <si>
    <t>Agenciamento, corretagem ou intermediação de direitos de propriedade industrial, artística ou literária.</t>
  </si>
  <si>
    <t>1004 Agenciamento, corretagem ou intermediação de contratos de arrendamento mercantil (leasing), de franquia (franchising) e de faturização (factoring).</t>
  </si>
  <si>
    <t>10.04</t>
  </si>
  <si>
    <t>Agenciamento, corretagem ou intermediação de contratos de arrendamento mercantil (leasing), de franquia (franchising) e de faturização (factoring).</t>
  </si>
  <si>
    <t>1005 Agenciamento, corretagem ou intermediação de bens móveis ou imóveis, não abrangidos em outros itens ou subitens, inclusive aqueles realizados no âmbito</t>
  </si>
  <si>
    <t>10.05</t>
  </si>
  <si>
    <t>Agenciamento, corretagem ou intermediação de bens móveis ou imóveis, não abrangidos em outros itens ou subitens, inclusive aqueles realizados no âmbito</t>
  </si>
  <si>
    <t>Agenciamento, corretagem ou intermediação de bens móveis ou imóveis, não abrangidos em outros itens ou subitens, inclusive aqueles realizados no âmbito de Bolsas de Mercadorias e Futuros, por quaisquer meios.</t>
  </si>
  <si>
    <t>1006 Agenciamento marítimo.</t>
  </si>
  <si>
    <t>10.06</t>
  </si>
  <si>
    <t>Agenciamento marítimo.</t>
  </si>
  <si>
    <t>1007 Agenciamento de notícias.</t>
  </si>
  <si>
    <t>10.07</t>
  </si>
  <si>
    <t>Agenciamento de notícias.</t>
  </si>
  <si>
    <t>1008 Agenciamento de publicidade e propaganda, inclusive o agenciamento de veiculação por quaisquer meios.</t>
  </si>
  <si>
    <t>10.08</t>
  </si>
  <si>
    <t>Agenciamento de publicidade e propaganda, inclusive o agenciamento de veiculação por quaisquer meios.</t>
  </si>
  <si>
    <t>1009 Representação de qualquer natureza, inclusive comercial.</t>
  </si>
  <si>
    <t>10.09</t>
  </si>
  <si>
    <t>Representação de qualquer natureza, inclusive comercial.</t>
  </si>
  <si>
    <t>1010 Distribuição de bens de terceiros.</t>
  </si>
  <si>
    <t>10.10</t>
  </si>
  <si>
    <t>Distribuição de bens de terceiros.</t>
  </si>
  <si>
    <t>1101 Guarda e estacionamento de veículos terrestres automotores, de aeronaves e de embarcações.</t>
  </si>
  <si>
    <t>11.01</t>
  </si>
  <si>
    <t>Guarda e estacionamento de veículos terrestres automotores, de aeronaves e de embarcações.</t>
  </si>
  <si>
    <t>1102 Vigilância, segurança ou monitoramento de bens, pessoas e semoventes. (Redação dada pela Lei Complementar nº 157, de 2016)</t>
  </si>
  <si>
    <t>11.02</t>
  </si>
  <si>
    <t>Vigilância, segurança ou monitoramento de bens, pessoas e semoventes. (Redação dada pela Lei Complementar nº 157, de 2016)</t>
  </si>
  <si>
    <t>1103 Escolta, inclusive de veículos e cargas.</t>
  </si>
  <si>
    <t>11.03</t>
  </si>
  <si>
    <t>Escolta, inclusive de veículos e cargas.</t>
  </si>
  <si>
    <t>1104 Armazenamento, depósito, carga, descarga, arrumação e guarda de bens de qualquer espécie.</t>
  </si>
  <si>
    <t>11.04</t>
  </si>
  <si>
    <t>Armazenamento, depósito, carga, descarga, arrumação e guarda de bens de qualquer espécie.</t>
  </si>
  <si>
    <t>1201 Espetáculos teatrais.</t>
  </si>
  <si>
    <t>12.01</t>
  </si>
  <si>
    <t>Espetáculos teatrais.</t>
  </si>
  <si>
    <t>1202 Exibições cinematográficas.</t>
  </si>
  <si>
    <t>12.02</t>
  </si>
  <si>
    <t>Exibições cinematográficas.</t>
  </si>
  <si>
    <t>1203 Espetáculos circenses.</t>
  </si>
  <si>
    <t>12.03</t>
  </si>
  <si>
    <t>Espetáculos circenses.</t>
  </si>
  <si>
    <t>1204 Programas de auditório.</t>
  </si>
  <si>
    <t>12.04</t>
  </si>
  <si>
    <t>Programas de auditório.</t>
  </si>
  <si>
    <t>1205 Parques de diversões, centros de lazer e congêneres.</t>
  </si>
  <si>
    <t>12.05</t>
  </si>
  <si>
    <t>Parques de diversões, centros de lazer e congêneres.</t>
  </si>
  <si>
    <t>1206 Boates, taxidancing e congêneres.</t>
  </si>
  <si>
    <t>12.06</t>
  </si>
  <si>
    <t>Boates, taxidancing e congêneres.</t>
  </si>
  <si>
    <t>1207 Shows, ballet, danças, desfiles, bailes, óperas, concertos, recitais, festivais e congêneres.</t>
  </si>
  <si>
    <t>12.07</t>
  </si>
  <si>
    <t>Shows, ballet, danças, desfiles, bailes, óperas, concertos, recitais, festivais e congêneres.</t>
  </si>
  <si>
    <t>1208 Feiras, exposições, congressos e congêneres.</t>
  </si>
  <si>
    <t>12.08</t>
  </si>
  <si>
    <t>Feiras, exposições, congressos e congêneres.</t>
  </si>
  <si>
    <t>1209 Bilhares, boliches e diversões eletrônicas ou não.</t>
  </si>
  <si>
    <t>12.09</t>
  </si>
  <si>
    <t>Bilhares, boliches e diversões eletrônicas ou não.</t>
  </si>
  <si>
    <t>1210 Corridas e competições de animais.</t>
  </si>
  <si>
    <t>12.10</t>
  </si>
  <si>
    <t>Corridas e competições de animais.</t>
  </si>
  <si>
    <t>1211 Competições esportivas ou de destreza física ou intelectual, com ou sem a participação do espectador.</t>
  </si>
  <si>
    <t>12.11</t>
  </si>
  <si>
    <t>Competições esportivas ou de destreza física ou intelectual, com ou sem a participação do espectador.</t>
  </si>
  <si>
    <t>1212 Execução de música.</t>
  </si>
  <si>
    <t>12.12</t>
  </si>
  <si>
    <t>Execução de música.</t>
  </si>
  <si>
    <t>1213 Produção, mediante ou sem encomenda prévia, de eventos, espetáculos, entrevistas, shows, ballet, danças, desfiles, bailes, teatros, óperas, concertos, recitais,</t>
  </si>
  <si>
    <t>12.13</t>
  </si>
  <si>
    <t>Produção, mediante ou sem encomenda prévia, de eventos, espetáculos, entrevistas, shows, ballet, danças, desfiles, bailes, teatros, óperas, concertos, recitais,</t>
  </si>
  <si>
    <t>Produção, mediante ou sem encomenda prévia, de eventos, espetáculos, entrevistas, shows, ballet, danças, desfiles, bailes, teatros, óperas, concertos, recitais, festivais e congêneres.</t>
  </si>
  <si>
    <t>1214 Fornecimento de música para ambientes fechados ou não, mediante transmissão por qualquer processo.</t>
  </si>
  <si>
    <t>12.14</t>
  </si>
  <si>
    <t>Fornecimento de música para ambientes fechados ou não, mediante transmissão por qualquer processo.</t>
  </si>
  <si>
    <t>1215 Desfiles de blocos carnavalescos ou folclóricos, trios elétricos e congêneres.</t>
  </si>
  <si>
    <t>12.15</t>
  </si>
  <si>
    <t>Desfiles de blocos carnavalescos ou folclóricos, trios elétricos e congêneres.</t>
  </si>
  <si>
    <t>1216 Exibição de filmes, entrevistas, musicais, espetáculos, shows, concertos, desfiles, óperas, competições esportivas, de destreza intelectual ou congêneres.</t>
  </si>
  <si>
    <t>12.16</t>
  </si>
  <si>
    <t>Exibição de filmes, entrevistas, musicais, espetáculos, shows, concertos, desfiles, óperas, competições esportivas, de destreza intelectual ou congêneres.</t>
  </si>
  <si>
    <t>1217 Recreação e animação, inclusive em festas e eventos de qualquer natureza.</t>
  </si>
  <si>
    <t>12.17</t>
  </si>
  <si>
    <t>Recreação e animação, inclusive em festas e eventos de qualquer natureza.</t>
  </si>
  <si>
    <t>1302 Fonografia ou gravação de sons, inclusive trucagem, dublagem, mixagem e congêneres.</t>
  </si>
  <si>
    <t>13.02</t>
  </si>
  <si>
    <t>Fonografia ou gravação de sons, inclusive trucagem, dublagem, mixagem e congêneres.</t>
  </si>
  <si>
    <t>1303 Fotografia e cinematografia, inclusive revelação, ampliação, cópia, reprodução, trucagem e congêneres.</t>
  </si>
  <si>
    <t>13.03</t>
  </si>
  <si>
    <t>Fotografia e cinematografia, inclusive revelação, ampliação, cópia, reprodução, trucagem e congêneres.</t>
  </si>
  <si>
    <t>1304 Reprografia, microfilmagem e digitalização.</t>
  </si>
  <si>
    <t>13.04</t>
  </si>
  <si>
    <t>Reprografia, microfilmagem e digitalização.</t>
  </si>
  <si>
    <t>1305 Composição gráfica, inclusive confecção de impressos gráficos, fotocomposição, clicheria, zincografia, litografia e fotolitografia, exceto se destinados a posterior operação de comercialização ou industrialização, ainda que incorporados, de qualquer for</t>
  </si>
  <si>
    <t>13.05</t>
  </si>
  <si>
    <t>Composição gráfica, inclusive confecção de impressos gráficos, fotocomposição, clicheria, zincografia, litografia e fotolitografia, exceto se destinados a posterior operação de comercialização ou industrialização, ainda que incorporados, de qualquer for</t>
  </si>
  <si>
    <t>1401 Lubrificação, limpeza, lustração, revisão, carga e recarga, conserto, restauração, blindagem, manutenção e conservação de máquinas, veículos, aparelhos, equipamentos, motores, elevadores ou de qualquer objeto (exceto peças e partes empregadas, que ficam sujeitas ao ICMS).</t>
  </si>
  <si>
    <t>14.01</t>
  </si>
  <si>
    <t>Lubrificação, limpeza, lustração, revisão, carga e recarga, conserto, restauração, blindagem, manutenção e conservação de máquinas, veículos, aparelhos, equipamentos, motores, elevadores ou de qualquer objeto (exceto peças e partes empregadas, que ficam sujeitas ao ICMS).</t>
  </si>
  <si>
    <t>1402 Assistência técnica.</t>
  </si>
  <si>
    <t>14.02</t>
  </si>
  <si>
    <t>Assistência técnica.</t>
  </si>
  <si>
    <t>1403 Recondicionamento de motores (exceto peças e partes empregadas, que ficam sujeitas ao ICMS).</t>
  </si>
  <si>
    <t>14.03</t>
  </si>
  <si>
    <t>Recondicionamento de motores (exceto peças e partes empregadas, que ficam sujeitas ao ICMS).</t>
  </si>
  <si>
    <t>1404 Recauchutagem ou regeneração de pneus.</t>
  </si>
  <si>
    <t>14.04</t>
  </si>
  <si>
    <t>Recauchutagem ou regeneração de pneus.</t>
  </si>
  <si>
    <t>1405 Restauração, recondicionamento, acondicionamento, pintura, beneficiamento, lavagem, secagem, tingimento, galvanoplastia, anodização, corte, recorte, plastificação, costura, acabamento, polimento e congêneres de objetos quaisquer.  (Redação dada pela Lei</t>
  </si>
  <si>
    <t>14.05</t>
  </si>
  <si>
    <t>Restauração, recondicionamento, acondicionamento, pintura, beneficiamento, lavagem, secagem, tingimento, galvanoplastia, anodização, corte, recorte, plastificação, costura, acabamento, polimento e congêneres de objetos quaisquer.  (Redação dada pela Lei</t>
  </si>
  <si>
    <t>1406 Instalação e montagem de aparelhos, máquinas e equipamentos, inclusive montagem industrial, prestados ao usuário final, exclusivamente com material por</t>
  </si>
  <si>
    <t>14.06</t>
  </si>
  <si>
    <t>Instalação e montagem de aparelhos, máquinas e equipamentos, inclusive montagem industrial, prestados ao usuário final, exclusivamente com material por</t>
  </si>
  <si>
    <t>Instalação e montagem de aparelhos, máquinas e equipamentos, inclusive montagem industrial, prestados ao usuário final, exclusivamente com material por ele fornecido.</t>
  </si>
  <si>
    <t>1407 Colocação de molduras e congêneres.</t>
  </si>
  <si>
    <t>14.07</t>
  </si>
  <si>
    <t>Colocação de molduras e congêneres.</t>
  </si>
  <si>
    <t>1408 Encadernação, gravação e douração de livros, revistas e congêneres.</t>
  </si>
  <si>
    <t>14.08</t>
  </si>
  <si>
    <t>Encadernação, gravação e douração de livros, revistas e congêneres.</t>
  </si>
  <si>
    <t>1409 Alfaiataria e costura, quando o material for fornecido pelo usuário final, exceto aviamento.</t>
  </si>
  <si>
    <t>14.09</t>
  </si>
  <si>
    <t>Alfaiataria e costura, quando o material for fornecido pelo usuário final, exceto aviamento.</t>
  </si>
  <si>
    <t>1410 Tinturaria e lavanderia.</t>
  </si>
  <si>
    <t>14.10</t>
  </si>
  <si>
    <t>Tinturaria e lavanderia.</t>
  </si>
  <si>
    <t>1411 Tapeçaria e reforma de estofamentos em geral.</t>
  </si>
  <si>
    <t>14.11</t>
  </si>
  <si>
    <t>Tapeçaria e reforma de estofamentos em geral.</t>
  </si>
  <si>
    <t>1412 Funilaria e lanternagem.</t>
  </si>
  <si>
    <t>14.12</t>
  </si>
  <si>
    <t>Funilaria e lanternagem.</t>
  </si>
  <si>
    <t>1413 Carpintaria e serralheria.</t>
  </si>
  <si>
    <t>14.13</t>
  </si>
  <si>
    <t>Carpintaria e serralheria.</t>
  </si>
  <si>
    <t>1414 Guincho intramunicipal, guindaste e içamento. (Redação dada pela Lei Complementar nº 157, de 2016)</t>
  </si>
  <si>
    <t>14.14</t>
  </si>
  <si>
    <t>Guincho intramunicipal, guindaste e içamento. (Redação dada pela Lei Complementar nº 157, de 2016)</t>
  </si>
  <si>
    <t>1501 Administração de fundos quaisquer, de consórcio, de cartão de crédito ou débito e congêneres, de carteira de clientes, de cheques prédatados e congêneres.</t>
  </si>
  <si>
    <t>15.01</t>
  </si>
  <si>
    <t>Administração de fundos quaisquer, de consórcio, de cartão de crédito ou débito e congêneres, de carteira de clientes, de cheques prédatados e congêneres.</t>
  </si>
  <si>
    <t>1502 Abertura de contas em geral, inclusive contacorrente, conta de investimentos e aplicação e caderneta de poupança, no País e no exterior, bem como a</t>
  </si>
  <si>
    <t>15.02</t>
  </si>
  <si>
    <t>Abertura de contas em geral, inclusive contacorrente, conta de investimentos e aplicação e caderneta de poupança, no País e no exterior, bem como a</t>
  </si>
  <si>
    <t>Abertura de contas em geral, inclusive contacorrente, conta de investimentos e aplicação e caderneta de poupança, no País e no exterior, bem como a manutenção das referidas contas ativas e inativas.</t>
  </si>
  <si>
    <t>1503 Locação e manutenção de cofres particulares, de terminais eletrônicos, de terminais de atendimento e de bens e equipamentos em geral.</t>
  </si>
  <si>
    <t>15.03</t>
  </si>
  <si>
    <t>Locação e manutenção de cofres particulares, de terminais eletrônicos, de terminais de atendimento e de bens e equipamentos em geral.</t>
  </si>
  <si>
    <t>1504 Fornecimento ou emissão de atestados em geral, inclusive atestado de idoneidade, atestado de capacidade financeira e congêneres.</t>
  </si>
  <si>
    <t>15.04</t>
  </si>
  <si>
    <t>Fornecimento ou emissão de atestados em geral, inclusive atestado de idoneidade, atestado de capacidade financeira e congêneres.</t>
  </si>
  <si>
    <t>1505 Cadastro, elaboração de ficha cadastral, renovação cadastral e congêneres, inclusão ou exclusão no Cadastro de Emitentes de Cheques sem Fundos CCF ou em</t>
  </si>
  <si>
    <t>15.05</t>
  </si>
  <si>
    <t>Cadastro, elaboração de ficha cadastral, renovação cadastral e congêneres, inclusão ou exclusão no Cadastro de Emitentes de Cheques sem Fundos CCF ou em</t>
  </si>
  <si>
    <t>Cadastro, elaboração de ficha cadastral, renovação cadastral e congêneres, inclusão ou exclusão no Cadastro de Emitentes de Cheques sem Fundos CCF ou em quaisquer outros bancos cadastrais.</t>
  </si>
  <si>
    <t>1506 Emissão, reemissão e fornecimento de avisos, comprovantes e documentos em geral; abono de firmas; coleta e entrega de documentos, bens e valores;</t>
  </si>
  <si>
    <t>15.06</t>
  </si>
  <si>
    <t>Emissão, reemissão e fornecimento de avisos, comprovantes e documentos em geral; abono de firmas; coleta e entrega de documentos, bens e valores;</t>
  </si>
  <si>
    <t>Emissão, reemissão e fornecimento de avisos, comprovantes e documentos em geral; abono de firmas; coleta e entrega de documentos, bens e valores; comunicação com outra agência ou com a administração central; licenciamento eletrônico de veículos; transferência de veículos; agenciamento fiduciário ou depositário; devolução de bens em custódia.</t>
  </si>
  <si>
    <t>1507 Acesso, movimentação, atendimento e consulta a contas em geral, por qualquer meio ou processo, inclusive por telefone, facsímile, internet e telex, acesso a terminais de atendimento, inclusive vinte e quatro horas; acesso a outro banco e a rede compartilhada; fornecimento de saldo, extrato e demais informações relativas a contas em geral, por qualquer meio ou processo.</t>
  </si>
  <si>
    <t>15.07</t>
  </si>
  <si>
    <t>Acesso, movimentação, atendimento e consulta a contas em geral, por qualquer meio ou processo, inclusive por telefone, facsímile, internet e telex, acesso a terminais de atendimento, inclusive vinte e quatro horas; acesso a outro banco e a rede compartilhada; fornecimento de saldo, extrato e demais informações relativas a contas em geral, por qualquer meio ou processo.</t>
  </si>
  <si>
    <t>1508 Emissão, reemissão, alteração, cessão, substituição, cancelamento e registro de contrato de crédito; estudo, análise e avaliação de operações de crédito;</t>
  </si>
  <si>
    <t>15.08</t>
  </si>
  <si>
    <t>Emissão, reemissão, alteração, cessão, substituição, cancelamento e registro de contrato de crédito; estudo, análise e avaliação de operações de crédito;</t>
  </si>
  <si>
    <t>Emissão, reemissão, alteração, cessão, substituição, cancelamento e registro de contrato de crédito; estudo, análise e avaliação de operações de crédito; emissão, concessão, alteração ou contratação de aval, fiança, anuência e congêneres; serviços relativos a abertura de crédito, para quaisquer fins.</t>
  </si>
  <si>
    <t>1509 Arrendamento mercantil (leasing) de quaisquer bens, inclusive cessão de direitos e obrigações, substituição de garantia, alteração, cancelamento e registro de</t>
  </si>
  <si>
    <t>15.09</t>
  </si>
  <si>
    <t>Arrendamento mercantil (leasing) de quaisquer bens, inclusive cessão de direitos e obrigações, substituição de garantia, alteração, cancelamento e registro de</t>
  </si>
  <si>
    <t>Arrendamento mercantil (leasing) de quaisquer bens, inclusive cessão de direitos e obrigações, substituição de garantia, alteração, cancelamento e registro de contrato, e demais serviços relacionados ao arrendamento mercantil (leasing).</t>
  </si>
  <si>
    <t>1510 Serviços relacionados a cobranças, recebimentos ou pagamentos em geral, de títulos quaisquer, de contas ou carnês, de câmbio, de tributos e por conta de</t>
  </si>
  <si>
    <t>15.10</t>
  </si>
  <si>
    <t>Serviços relacionados a cobranças, recebimentos ou pagamentos em geral, de títulos quaisquer, de contas ou carnês, de câmbio, de tributos e por conta de</t>
  </si>
  <si>
    <t>Serviços relacionados a cobranças, recebimentos ou pagamentos em geral, de títulos quaisquer, de contas ou carnês, de câmbio, de tributos e por conta de terceiros, inclusive os efetuados por meio eletrônico, automático ou por máquinas de atendimento; fornecimento de posição de cobrança, recebimento ou pagamento; emissão de carnês, fichas de compensação, impressos e documentos em geral.</t>
  </si>
  <si>
    <t>1511 Devolução de títulos, protesto de títulos, sustação de protesto, manutenção de títulos, reapresentação de títulos, e demais serviços a eles relacionados.</t>
  </si>
  <si>
    <t>15.11</t>
  </si>
  <si>
    <t>Devolução de títulos, protesto de títulos, sustação de protesto, manutenção de títulos, reapresentação de títulos, e demais serviços a eles relacionados.</t>
  </si>
  <si>
    <t>1512 Custódia em geral, inclusive de títulos e valores mobiliários.</t>
  </si>
  <si>
    <t>15.12</t>
  </si>
  <si>
    <t>Custódia em geral, inclusive de títulos e valores mobiliários.</t>
  </si>
  <si>
    <t>1513 Serviços relacionados a operações de câmbio em geral, edição, alteração, prorrogação, cancelamento e baixa de contrato de câmbio; emissão de registro de</t>
  </si>
  <si>
    <t>15.13</t>
  </si>
  <si>
    <t>Serviços relacionados a operações de câmbio em geral, edição, alteração, prorrogação, cancelamento e baixa de contrato de câmbio; emissão de registro de</t>
  </si>
  <si>
    <t>Serviços relacionados a operações de câmbio em geral, edição, alteração, prorrogação, cancelamento e baixa de contrato de câmbio; emissão de registro de exportação ou de crédito; cobrança ou depósito no exterior; emissão, fornecimento e cancelamento de cheques de viagem; fornecimento, transferência, cancelamento e demais serviços relativos a carta de crédito de importação, exportação e garantias recebidas; envio e recebimento de mensagens em geral relacionadas a operações de câmbio.</t>
  </si>
  <si>
    <t>1514 Fornecimento, emissão, reemissão, renovação e manutenção de cartão magnético, cartão de crédito, cartão de débito, cartão salário e congêneres.</t>
  </si>
  <si>
    <t>15.14</t>
  </si>
  <si>
    <t>Fornecimento, emissão, reemissão, renovação e manutenção de cartão magnético, cartão de crédito, cartão de débito, cartão salário e congêneres.</t>
  </si>
  <si>
    <t>1515 Compensação de cheques e títulos quaisquer; serviços relacionados a depósito, inclusive depósito identificado, a saque de contas quaisquer, por qualquer meio</t>
  </si>
  <si>
    <t>15.15</t>
  </si>
  <si>
    <t>Compensação de cheques e títulos quaisquer; serviços relacionados a depósito, inclusive depósito identificado, a saque de contas quaisquer, por qualquer meio</t>
  </si>
  <si>
    <t>Compensação de cheques e títulos quaisquer; serviços relacionados a depósito, inclusive depósito identificado, a saque de contas quaisquer, por qualquer meio ou processo, inclusive em terminais eletrônicos e de atendimento.</t>
  </si>
  <si>
    <t>1516 Emissão, reemissão, liquidação, alteração, cancelamento e baixa de ordens de pagamento, ordens de crédito e similares, por qualquer meio ou processo;</t>
  </si>
  <si>
    <t>15.16</t>
  </si>
  <si>
    <t>Emissão, reemissão, liquidação, alteração, cancelamento e baixa de ordens de pagamento, ordens de crédito e similares, por qualquer meio ou processo;</t>
  </si>
  <si>
    <t>Emissão, reemissão, liquidação, alteração, cancelamento e baixa de ordens de pagamento, ordens de crédito e similares, por qualquer meio ou processo; serviços relacionados à transferência de valores, dados, fundos, pagamentos e similares, inclusive entre contas em geral.</t>
  </si>
  <si>
    <t>1517 Emissão, fornecimento, devolução, sustação, cancelamento e oposição de cheques quaisquer, avulso ou por talão.</t>
  </si>
  <si>
    <t>15.17</t>
  </si>
  <si>
    <t>Emissão, fornecimento, devolução, sustação, cancelamento e oposição de cheques quaisquer, avulso ou por talão.</t>
  </si>
  <si>
    <t>1518 Serviços relacionados a crédito imobiliário, avaliação e vistoria de imóvel ou obra, análise técnica e jurídica, emissão, reemissão, alteração, transferência e</t>
  </si>
  <si>
    <t>15.18</t>
  </si>
  <si>
    <t>Serviços relacionados a crédito imobiliário, avaliação e vistoria de imóvel ou obra, análise técnica e jurídica, emissão, reemissão, alteração, transferência e</t>
  </si>
  <si>
    <t>Serviços relacionados a crédito imobiliário, avaliação e vistoria de imóvel ou obra, análise técnica e jurídica, emissão, reemissão, alteração, transferência e renegociação de contrato, emissão e reemissão do termo de quitação e demais serviços relacionados a crédito imobiliário.</t>
  </si>
  <si>
    <t>1601 Serviços de transporte coletivo municipal rodoviário, metroviário, ferroviário e aquaviário de passageiros. (Redação dada pela Lei Complementar nº 157, de</t>
  </si>
  <si>
    <t>16.01</t>
  </si>
  <si>
    <t>Serviços de transporte coletivo municipal rodoviário, metroviário, ferroviário e aquaviário de passageiros. (Redação dada pela Lei Complementar nº 157, de</t>
  </si>
  <si>
    <t>Serviços de transporte coletivo municipal rodoviário, metroviário, ferroviário e aquaviário de passageiros. (Redação dada pela Lei Complementar nº 157, de 2016)</t>
  </si>
  <si>
    <t>1602 Outros serviços de transporte de natureza municipal. (Incluído pela Lei Complementar nº 157, de 2016)</t>
  </si>
  <si>
    <t>16.02</t>
  </si>
  <si>
    <t>Outros serviços de transporte de natureza municipal. (Incluído pela Lei Complementar nº 157, de 2016)</t>
  </si>
  <si>
    <t>1701 Assessoria ou consultoria de qualquer natureza, não contida em outros itens desta lista; análise, exame, pesquisa, coleta, compilação e fornecimento de dados e</t>
  </si>
  <si>
    <t>17.01</t>
  </si>
  <si>
    <t>Assessoria ou consultoria de qualquer natureza, não contida em outros itens desta lista; análise, exame, pesquisa, coleta, compilação e fornecimento de dados e</t>
  </si>
  <si>
    <t>Assessoria ou consultoria de qualquer natureza, não contida em outros itens desta lista; análise, exame, pesquisa, coleta, compilação e fornecimento de dados e informações de qualquer natureza, inclusive cadastro e similares.</t>
  </si>
  <si>
    <t>1702 Datilografia, digitação, estenografia, expediente, secretaria em geral, resposta audível, redação, edição, interpretação, revisão, tradução, apoio e infraestrutura</t>
  </si>
  <si>
    <t>17.02</t>
  </si>
  <si>
    <t>Datilografia, digitação, estenografia, expediente, secretaria em geral, resposta audível, redação, edição, interpretação, revisão, tradução, apoio e infraestrutura</t>
  </si>
  <si>
    <t>Datilografia, digitação, estenografia, expediente, secretaria em geral, resposta audível, redação, edição, interpretação, revisão, tradução, apoio e infraestrutura administrativa e congêneres.</t>
  </si>
  <si>
    <t>1703 Planejamento, coordenação, programação ou organização técnica, financeira ou administrativa.</t>
  </si>
  <si>
    <t>17.03</t>
  </si>
  <si>
    <t>Planejamento, coordenação, programação ou organização técnica, financeira ou administrativa.</t>
  </si>
  <si>
    <t>1704 Recrutamento, agenciamento, seleção e colocação de mãodeobra.</t>
  </si>
  <si>
    <t>17.04</t>
  </si>
  <si>
    <t>Recrutamento, agenciamento, seleção e colocação de mãodeobra.</t>
  </si>
  <si>
    <t>1705 Fornecimento de mãodeobra, mesmo em caráter temporário, inclusive de empregados ou trabalhadores, avulsos ou temporários, contratados pelo prestador de</t>
  </si>
  <si>
    <t>17.05</t>
  </si>
  <si>
    <t>Fornecimento de mãodeobra, mesmo em caráter temporário, inclusive de empregados ou trabalhadores, avulsos ou temporários, contratados pelo prestador de</t>
  </si>
  <si>
    <t>Fornecimento de mãodeobra, mesmo em caráter temporário, inclusive de empregados ou trabalhadores, avulsos ou temporários, contratados pelo prestador de serviço.</t>
  </si>
  <si>
    <t>1706 Propaganda e publicidade, inclusive promoção de vendas, planejamento de campanhas ou sistemas de publicidade, elaboração de desenhos, textos e demais</t>
  </si>
  <si>
    <t>17.06</t>
  </si>
  <si>
    <t>Propaganda e publicidade, inclusive promoção de vendas, planejamento de campanhas ou sistemas de publicidade, elaboração de desenhos, textos e demais</t>
  </si>
  <si>
    <t>Propaganda e publicidade, inclusive promoção de vendas, planejamento de campanhas ou sistemas de publicidade, elaboração de desenhos, textos e demais materiais publicitários.</t>
  </si>
  <si>
    <t>1708 Franquia (franchising).</t>
  </si>
  <si>
    <t>17.08</t>
  </si>
  <si>
    <t>Franquia (franchising).</t>
  </si>
  <si>
    <t>1709 Perícias, laudos, exames técnicos e análises técnicas.</t>
  </si>
  <si>
    <t>17.09</t>
  </si>
  <si>
    <t>Perícias, laudos, exames técnicos e análises técnicas.</t>
  </si>
  <si>
    <t>1710 Planejamento, organização e administração de feiras, exposições, congressos e congêneres.</t>
  </si>
  <si>
    <t>17.10</t>
  </si>
  <si>
    <t>Planejamento, organização e administração de feiras, exposições, congressos e congêneres.</t>
  </si>
  <si>
    <t>1711 Organização de festas e recepções; bufê (exceto o fornecimento de alimentação e bebidas, que fica sujeito ao ICMS).</t>
  </si>
  <si>
    <t>17.11</t>
  </si>
  <si>
    <t>Organização de festas e recepções; bufê (exceto o fornecimento de alimentação e bebidas, que fica sujeito ao ICMS).</t>
  </si>
  <si>
    <t>1712 Administração em geral, inclusive de bens e negócios de terceiros.</t>
  </si>
  <si>
    <t>17.12</t>
  </si>
  <si>
    <t>Administração em geral, inclusive de bens e negócios de terceiros.</t>
  </si>
  <si>
    <t>1713 Leilão e congêneres.</t>
  </si>
  <si>
    <t>17.13</t>
  </si>
  <si>
    <t>Leilão e congêneres.</t>
  </si>
  <si>
    <t>1714 Advocacia.</t>
  </si>
  <si>
    <t>17.14</t>
  </si>
  <si>
    <t>Advocacia.</t>
  </si>
  <si>
    <t>1715 Arbitragem de qualquer espécie, inclusive jurídica.</t>
  </si>
  <si>
    <t>17.15</t>
  </si>
  <si>
    <t>Arbitragem de qualquer espécie, inclusive jurídica.</t>
  </si>
  <si>
    <t>1716 Auditoria.</t>
  </si>
  <si>
    <t>17.16</t>
  </si>
  <si>
    <t>Auditoria.</t>
  </si>
  <si>
    <t>1717 Análise de Organização e Métodos.</t>
  </si>
  <si>
    <t>17.17</t>
  </si>
  <si>
    <t>Análise de Organização e Métodos.</t>
  </si>
  <si>
    <t>1718 Atuária e cálculos técnicos de qualquer natureza.</t>
  </si>
  <si>
    <t>17.18</t>
  </si>
  <si>
    <t>Atuária e cálculos técnicos de qualquer natureza.</t>
  </si>
  <si>
    <t>1719 Contabilidade, inclusive serviços técnicos e auxiliares.</t>
  </si>
  <si>
    <t>17.19</t>
  </si>
  <si>
    <t>Contabilidade, inclusive serviços técnicos e auxiliares.</t>
  </si>
  <si>
    <t>1720 Consultoria e assessoria econômica ou financeira.</t>
  </si>
  <si>
    <t>17.20</t>
  </si>
  <si>
    <t>Consultoria e assessoria econômica ou financeira.</t>
  </si>
  <si>
    <t>1721 Estatística.</t>
  </si>
  <si>
    <t>17.21</t>
  </si>
  <si>
    <t>Estatística.</t>
  </si>
  <si>
    <t>1722 Cobrança em geral.</t>
  </si>
  <si>
    <t>17.22</t>
  </si>
  <si>
    <t>Cobrança em geral.</t>
  </si>
  <si>
    <t>1723 Assessoria, análise, avaliação, atendimento, consulta, cadastro, seleção, gerenciamento de informações, administração de contas a receber ou a pagar e em</t>
  </si>
  <si>
    <t>17.23</t>
  </si>
  <si>
    <t>Assessoria, análise, avaliação, atendimento, consulta, cadastro, seleção, gerenciamento de informações, administração de contas a receber ou a pagar e em</t>
  </si>
  <si>
    <t>Assessoria, análise, avaliação, atendimento, consulta, cadastro, seleção, gerenciamento de informações, administração de contas a receber ou a pagar e em geral, relacionados a operações de faturização (factoring).</t>
  </si>
  <si>
    <t>1724 Apresentação de palestras, conferências, seminários e congêneres.</t>
  </si>
  <si>
    <t>17.24</t>
  </si>
  <si>
    <t>Apresentação de palestras, conferências, seminários e congêneres.</t>
  </si>
  <si>
    <t>1725 Inserção de textos, desenhos e outros materiais de propaganda e publicidade, em qualquer meio (exceto em livros, jornais, periódicos e nas modalidades de</t>
  </si>
  <si>
    <t>17.25</t>
  </si>
  <si>
    <t>Inserção de textos, desenhos e outros materiais de propaganda e publicidade, em qualquer meio (exceto em livros, jornais, periódicos e nas modalidades de</t>
  </si>
  <si>
    <t>Inserção de textos, desenhos e outros materiais de propaganda e publicidade, em qualquer meio (exceto em livros, jornais, periódicos e nas modalidades de serviços de radiodifusão sonora e de sons e imagens de recepção livre e gratuita). (Incluído pela L</t>
  </si>
  <si>
    <t>1801 Serviços de regulação de sinistros vinculados a contratos de seguros; inspeção e avaliação de riscos para cobertura de contratos de seguros; prevenção e gerência</t>
  </si>
  <si>
    <t>18.01</t>
  </si>
  <si>
    <t>Serviços de regulação de sinistros vinculados a contratos de seguros; inspeção e avaliação de riscos para cobertura de contratos de seguros; prevenção e gerência</t>
  </si>
  <si>
    <t>Serviços de regulação de sinistros vinculados a contratos de seguros; inspeção e avaliação de riscos para cobertura de contratos de seguros; prevenção e gerência de riscos seguráveis e congêneres.</t>
  </si>
  <si>
    <t>1901 Serviços de distribuição e venda de bilhetes e demais produtos de loteria, bingos, cartões, pules ou cupons de apostas, sorteios, prêmios, inclusive os</t>
  </si>
  <si>
    <t>19.01</t>
  </si>
  <si>
    <t>Serviços de distribuição e venda de bilhetes e demais produtos de loteria, bingos, cartões, pules ou cupons de apostas, sorteios, prêmios, inclusive os</t>
  </si>
  <si>
    <t>Serviços de distribuição e venda de bilhetes e demais produtos de loteria, bingos, cartões, pules ou cupons de apostas, sorteios, prêmios, inclusive os decorrentes de títulos de capitalização e congêneres.</t>
  </si>
  <si>
    <t>2001 Serviços portuários, ferroportuários, utilização de porto, movimentação de passageiros, reboque de embarcações, rebocador escoteiro, atracação, desatracação,</t>
  </si>
  <si>
    <t>20.01</t>
  </si>
  <si>
    <t>Serviços portuários, ferroportuários, utilização de porto, movimentação de passageiros, reboque de embarcações, rebocador escoteiro, atracação, desatracação,</t>
  </si>
  <si>
    <t>Serviços portuários, ferroportuários, utilização de porto, movimentação de passageiros, reboque de embarcações, rebocador escoteiro, atracação, desatracação, serviços de praticagem, capatazia, armazenagem de qualquer natureza, serviços acessórios, movimentação de mercadorias, serviços de apoio marítimo, de movimentação ao largo, serviços de armadores, estiva, conferência, logística e congêneres.</t>
  </si>
  <si>
    <t>2002 Serviços aeroportuários, utilização de aeroporto, movimentação de passageiros, armazenagem de qualquer natureza, capatazia, movimentação de aeronaves,</t>
  </si>
  <si>
    <t>20.02</t>
  </si>
  <si>
    <t>Serviços aeroportuários, utilização de aeroporto, movimentação de passageiros, armazenagem de qualquer natureza, capatazia, movimentação de aeronaves,</t>
  </si>
  <si>
    <t>Serviços aeroportuários, utilização de aeroporto, movimentação de passageiros, armazenagem de qualquer natureza, capatazia, movimentação de aeronaves, serviços de apoio aeroportuários, serviços acessórios, movimentação de mercadorias, logística e congêneres.</t>
  </si>
  <si>
    <t>2003 Serviços de terminais rodoviários, ferroviários, metroviários, movimentação de passageiros, mercadorias, inclusive     suas operações, logística e congêneres.</t>
  </si>
  <si>
    <t>20.03</t>
  </si>
  <si>
    <t>Serviços de terminais rodoviários, ferroviários, metroviários, movimentação de passageiros, mercadorias, inclusive     suas operações, logística e congêneres.</t>
  </si>
  <si>
    <t>2101 Serviços de registros públicos, cartorários e notariais.</t>
  </si>
  <si>
    <t>21.01</t>
  </si>
  <si>
    <t>Serviços de registros públicos, cartorários e notariais.</t>
  </si>
  <si>
    <t>2201 Serviços de exploração de rodovia mediante cobrança de preço ou pedágio dos usuários, envolvendo execução de serviços de conservação, manutenção,</t>
  </si>
  <si>
    <t>22.01</t>
  </si>
  <si>
    <t>Serviços de exploração de rodovia mediante cobrança de preço ou pedágio dos usuários, envolvendo execução de serviços de conservação, manutenção,</t>
  </si>
  <si>
    <t>Serviços de exploração de rodovia mediante cobrança de preço ou pedágio dos usuários, envolvendo execução de serviços de conservação, manutenção, melhoramentos para adequação de capacidade e segurança de trânsito, operação, monitoração, assistência aos usuários e outros serviços definidos em contratos, atos de concessão ou de permissão ou em      normas oficiais.</t>
  </si>
  <si>
    <t>2301 Serviços de programação e comunicação visual, desenho industrial e congêneres.</t>
  </si>
  <si>
    <t>23.01</t>
  </si>
  <si>
    <t>Serviços de programação e comunicação visual, desenho industrial e congêneres.</t>
  </si>
  <si>
    <t>2401 Serviços de chaveiros, confecção de carimbos, placas, sinalização visual, banners, adesivos e congêneres.</t>
  </si>
  <si>
    <t>24.01</t>
  </si>
  <si>
    <t>Serviços de chaveiros, confecção de carimbos, placas, sinalização visual, banners, adesivos e congêneres.</t>
  </si>
  <si>
    <t>2501 Funerais, inclusive fornecimento de caixão, urna ou esquifes; aluguel de capela; transporte do corpo cadavérico; fornecimento de flores, coroas e outros</t>
  </si>
  <si>
    <t>25.01</t>
  </si>
  <si>
    <t>Funerais, inclusive fornecimento de caixão, urna ou esquifes; aluguel de capela; transporte do corpo cadavérico; fornecimento de flores, coroas e outros</t>
  </si>
  <si>
    <t>Funerais, inclusive fornecimento de caixão, urna ou esquifes; aluguel de capela; transporte do corpo cadavérico; fornecimento de flores, coroas e outros paramentos; desembaraço de certidão de óbito; fornecimento de véu, essa e outros adornos; embalsamento, embelezamento, conservação ou restauração de cadáveres.</t>
  </si>
  <si>
    <t>2502 Translado intramunicipal e cremação de corpos e partes de corpos cadavéricos.  (Redação dada pela Lei Complementar nº 157, de 2016)</t>
  </si>
  <si>
    <t>25.02</t>
  </si>
  <si>
    <t>Translado intramunicipal e cremação de corpos e partes de corpos cadavéricos.  (Redação dada pela Lei Complementar nº 157, de 2016)</t>
  </si>
  <si>
    <t>2503 Planos ou convênio funerários.</t>
  </si>
  <si>
    <t>25.03</t>
  </si>
  <si>
    <t>Planos ou convênio funerários.</t>
  </si>
  <si>
    <t>2504 Manutenção e conservação de jazigos e cemitérios.</t>
  </si>
  <si>
    <t>25.04</t>
  </si>
  <si>
    <t>Manutenção e conservação de jazigos e cemitérios.</t>
  </si>
  <si>
    <t>2505 Cessão de uso de espaços em cemitérios para sepultamento. (Incluído pela Lei Complementar nº 157, de 2016)</t>
  </si>
  <si>
    <t>25.05</t>
  </si>
  <si>
    <t>Cessão de uso de espaços em cemitérios para sepultamento. (Incluído pela Lei Complementar nº 157, de 2016)</t>
  </si>
  <si>
    <t>2601 Serviços de coleta, remessa ou entrega de correspondências, documentos, objetos, bens ou valores, inclusive pelos correios e suas agências franqueadas; courrier e congêneres.</t>
  </si>
  <si>
    <t>26.01</t>
  </si>
  <si>
    <t>Serviços de coleta, remessa ou entrega de correspondências, documentos, objetos, bens ou valores, inclusive pelos correios e suas agências franqueadas; courrier e congêneres.</t>
  </si>
  <si>
    <t>2701 Serviços de assistência social.</t>
  </si>
  <si>
    <t>27.01</t>
  </si>
  <si>
    <t>Serviços de assistência social.</t>
  </si>
  <si>
    <t>2801 Serviços de avaliação de bens e serviços de qualquer natureza.</t>
  </si>
  <si>
    <t>28.01</t>
  </si>
  <si>
    <t>Serviços de avaliação de bens e serviços de qualquer natureza.</t>
  </si>
  <si>
    <t>2901 Serviços de biblioteconomia.</t>
  </si>
  <si>
    <t>29.01</t>
  </si>
  <si>
    <t>Serviços de biblioteconomia.</t>
  </si>
  <si>
    <t>3001 Serviços de biologia, biotecnologia e química.</t>
  </si>
  <si>
    <t>30.01</t>
  </si>
  <si>
    <t>Serviços de biologia, biotecnologia e química.</t>
  </si>
  <si>
    <t>3101 Serviços técnicos em edificações, eletrônica, eletrotécnica, mecânica, telecomunicações e congêneres.</t>
  </si>
  <si>
    <t>31.01</t>
  </si>
  <si>
    <t>Serviços técnicos em edificações, eletrônica, eletrotécnica, mecânica, telecomunicações e congêneres.</t>
  </si>
  <si>
    <t>3201 Serviços de desenhos técnicos.</t>
  </si>
  <si>
    <t>32.01</t>
  </si>
  <si>
    <t>Serviços de desenhos técnicos.</t>
  </si>
  <si>
    <t>3301 Serviços de desembaraço aduaneiro, comissários, despachantes e congêneres.</t>
  </si>
  <si>
    <t>33.01</t>
  </si>
  <si>
    <t>Serviços de desembaraço aduaneiro, comissários, despachantes e congêneres.</t>
  </si>
  <si>
    <t>3401 Serviços de investigações particulares, detetives e congêneres.</t>
  </si>
  <si>
    <t>34.01</t>
  </si>
  <si>
    <t>Serviços de investigações particulares, detetives e congêneres.</t>
  </si>
  <si>
    <t>3501 Serviços de reportagem, assessoria de imprensa, jornalismo e relações públicas.</t>
  </si>
  <si>
    <t>35.01</t>
  </si>
  <si>
    <t>Serviços de reportagem, assessoria de imprensa, jornalismo e relações públicas.</t>
  </si>
  <si>
    <t>3601 Serviços de meteorologia.</t>
  </si>
  <si>
    <t>36.01</t>
  </si>
  <si>
    <t>Serviços de meteorologia.</t>
  </si>
  <si>
    <t>3701 Serviços de artistas, atletas, modelos e manequins.</t>
  </si>
  <si>
    <t>37.01</t>
  </si>
  <si>
    <t>Serviços de artistas, atletas, modelos e manequins.</t>
  </si>
  <si>
    <t>3801 Serviços de museologia.</t>
  </si>
  <si>
    <t>38.01</t>
  </si>
  <si>
    <t>Serviços de museologia.</t>
  </si>
  <si>
    <t>3901 Serviços de ourivesaria e lapidação (quando o material for fornecido pelo tomador do serviço).</t>
  </si>
  <si>
    <t>39.01</t>
  </si>
  <si>
    <t>Serviços de ourivesaria e lapidação (quando o material for fornecido pelo tomador do serviço).</t>
  </si>
  <si>
    <t>4001 Obras de arte sob encomenda.</t>
  </si>
  <si>
    <t>40.01</t>
  </si>
  <si>
    <t>Obras de arte sob encomenda.</t>
  </si>
  <si>
    <r>
      <rPr>
        <sz val="11"/>
        <color rgb="FFFF0000"/>
        <rFont val="Calibri"/>
        <family val="2"/>
        <scheme val="minor"/>
      </rPr>
      <t>%</t>
    </r>
    <r>
      <rPr>
        <sz val="11"/>
        <color theme="1"/>
        <rFont val="Calibri"/>
        <family val="2"/>
        <scheme val="minor"/>
      </rPr>
      <t xml:space="preserve"> ISS Retido</t>
    </r>
  </si>
  <si>
    <r>
      <rPr>
        <sz val="11"/>
        <color rgb="FFFF0000"/>
        <rFont val="Calibri"/>
        <family val="2"/>
        <scheme val="minor"/>
      </rPr>
      <t xml:space="preserve">% </t>
    </r>
    <r>
      <rPr>
        <sz val="11"/>
        <color theme="1"/>
        <rFont val="Calibri"/>
        <family val="2"/>
        <scheme val="minor"/>
      </rPr>
      <t>Inss Retido</t>
    </r>
  </si>
  <si>
    <r>
      <rPr>
        <sz val="11"/>
        <color rgb="FFFF0000"/>
        <rFont val="Calibri"/>
        <family val="2"/>
        <scheme val="minor"/>
      </rPr>
      <t>%</t>
    </r>
    <r>
      <rPr>
        <sz val="11"/>
        <color theme="1"/>
        <rFont val="Calibri"/>
        <family val="2"/>
        <scheme val="minor"/>
      </rPr>
      <t>CSRF Retido</t>
    </r>
  </si>
  <si>
    <r>
      <rPr>
        <sz val="11"/>
        <color rgb="FFFF0000"/>
        <rFont val="Calibri"/>
        <family val="2"/>
        <scheme val="minor"/>
      </rPr>
      <t>%</t>
    </r>
    <r>
      <rPr>
        <sz val="11"/>
        <color theme="1"/>
        <rFont val="Calibri"/>
        <family val="2"/>
        <scheme val="minor"/>
      </rPr>
      <t>IRRF Retido</t>
    </r>
  </si>
  <si>
    <t>Valor líquido</t>
  </si>
  <si>
    <t>INFORMAÇÃO DO ERRO</t>
  </si>
  <si>
    <t>Exceção</t>
  </si>
  <si>
    <t>Observações</t>
  </si>
  <si>
    <t>Total ICMS</t>
  </si>
  <si>
    <t>Total IPI</t>
  </si>
  <si>
    <t>ITEM</t>
  </si>
  <si>
    <t>Descrição Serviços</t>
  </si>
  <si>
    <t>Exceções (Detalhe)</t>
  </si>
  <si>
    <t>FEDERAIS</t>
  </si>
  <si>
    <r>
      <rPr>
        <b/>
        <sz val="12"/>
        <color rgb="FFFF0000"/>
        <rFont val="Calibri"/>
        <family val="2"/>
        <scheme val="minor"/>
      </rPr>
      <t xml:space="preserve">  ISS Curitiba</t>
    </r>
    <r>
      <rPr>
        <b/>
        <sz val="12"/>
        <color rgb="FF5522E6"/>
        <rFont val="Calibri"/>
        <family val="2"/>
        <scheme val="minor"/>
      </rPr>
      <t xml:space="preserve"> </t>
    </r>
    <r>
      <rPr>
        <b/>
        <sz val="10"/>
        <color rgb="FF5522E6"/>
        <rFont val="Calibri"/>
        <family val="2"/>
        <scheme val="minor"/>
      </rPr>
      <t xml:space="preserve">- </t>
    </r>
  </si>
  <si>
    <t>ISS São José dos Pinhais</t>
  </si>
  <si>
    <t>ISS Florianopolis</t>
  </si>
  <si>
    <t>ISS Porto Belo</t>
  </si>
  <si>
    <t>ISS Alhandra</t>
  </si>
  <si>
    <t>ISS Belo Horizonte</t>
  </si>
  <si>
    <t>ISS Brasilia</t>
  </si>
  <si>
    <t>ISS Feira de Santana</t>
  </si>
  <si>
    <t>ISS Manaus</t>
  </si>
  <si>
    <t>ISS Rio de Janeiro</t>
  </si>
  <si>
    <t>ISS São Paulo</t>
  </si>
  <si>
    <t>ISS Salvador</t>
  </si>
  <si>
    <t>ISS São Carlos</t>
  </si>
  <si>
    <r>
      <rPr>
        <b/>
        <sz val="10"/>
        <color rgb="FFFF0000"/>
        <rFont val="Calibri"/>
        <family val="2"/>
        <scheme val="minor"/>
      </rPr>
      <t>TEM IRRF</t>
    </r>
    <r>
      <rPr>
        <b/>
        <sz val="10"/>
        <color rgb="FF5522E6"/>
        <rFont val="Calibri"/>
        <family val="2"/>
        <scheme val="minor"/>
      </rPr>
      <t xml:space="preserve"> </t>
    </r>
  </si>
  <si>
    <t>DARF</t>
  </si>
  <si>
    <t>TEM CSRF</t>
  </si>
  <si>
    <t>INSS</t>
  </si>
  <si>
    <r>
      <t xml:space="preserve">TEM INSS -   </t>
    </r>
    <r>
      <rPr>
        <sz val="10"/>
        <color rgb="FFFF0000"/>
        <rFont val="Calibri"/>
        <family val="2"/>
        <scheme val="minor"/>
      </rPr>
      <t>Aplica retenção na fonte de INSS</t>
    </r>
    <r>
      <rPr>
        <sz val="11"/>
        <color rgb="FFFF0000"/>
        <rFont val="Calibri"/>
        <family val="2"/>
        <scheme val="minor"/>
      </rPr>
      <t xml:space="preserve"> quando o serviço caracteriza</t>
    </r>
    <r>
      <rPr>
        <b/>
        <sz val="11"/>
        <color rgb="FFFF0000"/>
        <rFont val="Calibri"/>
        <family val="2"/>
        <scheme val="minor"/>
      </rPr>
      <t>r "cessão de mão de obra ou empreitada".</t>
    </r>
  </si>
  <si>
    <r>
      <rPr>
        <b/>
        <sz val="10"/>
        <color rgb="FFFF0000"/>
        <rFont val="Calibri"/>
        <family val="2"/>
        <scheme val="minor"/>
      </rPr>
      <t>SIMPLES NACIONAL</t>
    </r>
    <r>
      <rPr>
        <sz val="10"/>
        <color rgb="FF5522E6"/>
        <rFont val="Calibri"/>
        <family val="2"/>
        <scheme val="minor"/>
      </rPr>
      <t xml:space="preserve"> -  </t>
    </r>
    <r>
      <rPr>
        <sz val="10"/>
        <color rgb="FFFF0000"/>
        <rFont val="Calibri"/>
        <family val="2"/>
        <scheme val="minor"/>
      </rPr>
      <t xml:space="preserve"> Aplica retenção  de INSS para prestadores optantes do Simples Nacional apenas os que se enquadra ao</t>
    </r>
    <r>
      <rPr>
        <b/>
        <sz val="10"/>
        <color rgb="FFFF0000"/>
        <rFont val="Calibri"/>
        <family val="2"/>
        <scheme val="minor"/>
      </rPr>
      <t xml:space="preserve"> Anexo IV</t>
    </r>
  </si>
  <si>
    <t>CENÁRIO</t>
  </si>
  <si>
    <t>do</t>
  </si>
  <si>
    <t>CODIGO SERVIÇO SAP</t>
  </si>
  <si>
    <t>Variantes</t>
  </si>
  <si>
    <t>Aliquota</t>
  </si>
  <si>
    <t>Retido</t>
  </si>
  <si>
    <t>IRRF Aliquota</t>
  </si>
  <si>
    <t>IRRF DARF</t>
  </si>
  <si>
    <t>CSRF Aliquota</t>
  </si>
  <si>
    <t>CSRF DARF</t>
  </si>
  <si>
    <t>INSS - ALIQUOTA</t>
  </si>
  <si>
    <t>SV.01.01.00</t>
  </si>
  <si>
    <t>Programa (software) por encomenda para uso exclusivo</t>
  </si>
  <si>
    <t>NR</t>
  </si>
  <si>
    <t>N/A</t>
  </si>
  <si>
    <t>SV.01.01.01</t>
  </si>
  <si>
    <t>Software produzido em série</t>
  </si>
  <si>
    <t>SV.01.01.02</t>
  </si>
  <si>
    <t>Software produzido em série + INSS</t>
  </si>
  <si>
    <t>SV.01.01.03</t>
  </si>
  <si>
    <t>Programa (software) por encomenda para uso exclusivo + INSS</t>
  </si>
  <si>
    <t>SV.01.02.00</t>
  </si>
  <si>
    <t>SV.01.02.01</t>
  </si>
  <si>
    <t>SV.01.02.02</t>
  </si>
  <si>
    <t>SV.01.02.03</t>
  </si>
  <si>
    <t>SV.01.03.00</t>
  </si>
  <si>
    <t>Processamento, armazenamento ou hospedagem de dados, textos, imagens, vídeos, páginas eletrônicas, aplicativos e sistemas de informação, entre outros formatos, e congêneres.</t>
  </si>
  <si>
    <t>Processo padrão</t>
  </si>
  <si>
    <t>SV.01.03.01</t>
  </si>
  <si>
    <t>Cessão de Mão de Obra - INSS</t>
  </si>
  <si>
    <t>SV.01.04.00</t>
  </si>
  <si>
    <t>Elaboração de programas de computadores, inclusive de jogos eletrônicos, independentemente da arquitetura construtiva da máquina em que o programa será executado, incluindo tablets, smartphones e congêneres.</t>
  </si>
  <si>
    <t>SV.01.04.01</t>
  </si>
  <si>
    <t>SV.01.05.00</t>
  </si>
  <si>
    <t>SV.01.05.01</t>
  </si>
  <si>
    <t>SV.01.05.02</t>
  </si>
  <si>
    <t>SV.01.05.03</t>
  </si>
  <si>
    <t>SV.01.06.00</t>
  </si>
  <si>
    <t xml:space="preserve">R </t>
  </si>
  <si>
    <t>SV.01.06.01</t>
  </si>
  <si>
    <t>SV.01.07.00</t>
  </si>
  <si>
    <t>SV.01.07.01</t>
  </si>
  <si>
    <t>Comercialização de software produzido em série (cópias múltiplas ou padronizado), bem como de suas atualizações; concessão de licença de uso em caráter permanente de cópia de software de uso geral, não exclusivo, para uso em um mercado ou segmento de mercado; aluguel ou concessão de licença de uso provisório de cópia de software de uso geral, não exclusivo, para uso em um mercado ou segmento de mercado; e manutenção e o suporte técnico remoto de software de uso geral voltados a manter o software sempre atualizado, para que continue atendendo às necessidades dos licenciados no decorrer do tempo, desenvolvidos em caráter geral, não exclusivo.</t>
  </si>
  <si>
    <t>SV.01.07.02</t>
  </si>
  <si>
    <t>SV.01.07.03</t>
  </si>
  <si>
    <t>Comercialização de software produzido em série (cópias múltiplas ou padronizado), bem como de suas atualizações; concessão de licença de uso em caráter permanente de cópia de software de uso geral, não exclusivo, para uso em um mercado ou segmento de mercado; aluguel ou concessão de licença de uso provisório de cópia de software de uso geral, não exclusivo, para uso em um mercado ou segmento de mercado; e manutenção e o suporte técnico remoto de software de uso geral voltados a manter o software sempre atualizado, para que continue atendendo às necessidades dos licenciados no decorrer do tempo, desenvolvidos em caráter geral, não exclusivo. + INSS</t>
  </si>
  <si>
    <t>SV.01.07.04</t>
  </si>
  <si>
    <t>SEM IR - Software de prateleira</t>
  </si>
  <si>
    <t>SV.01.08.00</t>
  </si>
  <si>
    <t>SV.01.08.01</t>
  </si>
  <si>
    <t>SV.01.09.00</t>
  </si>
  <si>
    <t>Disponibilização, sem cessão definitiva, de conteúdos de áudio, vídeo, imagem e texto por meio da internet, respeitada a imunidade de livros, jornais e periódicos (exceto a distribuição de conteúdos pelas prestadoras de Serviço de Acesso Condicionado, de que trata a Lei no 12.485, de 12 de setembro de 2011, sujeita ao ICMS).</t>
  </si>
  <si>
    <t>SV.02.01.00</t>
  </si>
  <si>
    <t>SV.02.01.01</t>
  </si>
  <si>
    <t>As atividades de promoção de vendas e negócios, desenvolvimento de vendas, representação comercial por conta de terceiros, exploração comercial de internet e telemática, e de telemarketing, não estão sujeitas ao imposto de renda na fonte. Já no caso de prestação de serviços de consultoria e assessoramento em processamento de programas e dados, bem como para os demais serviços de informática, será cabível a retenção.</t>
  </si>
  <si>
    <t>SV.03.02.00</t>
  </si>
  <si>
    <t>SV.03.03.00</t>
  </si>
  <si>
    <t>SV.03.04.00</t>
  </si>
  <si>
    <t>SV.03.05.00</t>
  </si>
  <si>
    <t>R</t>
  </si>
  <si>
    <t>SV.03.05.01</t>
  </si>
  <si>
    <t>SV.04.01.00</t>
  </si>
  <si>
    <t>SV.04.01.01</t>
  </si>
  <si>
    <t>SV.04.02.00</t>
  </si>
  <si>
    <t>Análises clínicas, patologia, eletricidade médica, radioterapia, quimioterapia, ultra-sonografia, ressonância magnética, radiologia, tomografia e congêneres.</t>
  </si>
  <si>
    <t>SV.04.02.01</t>
  </si>
  <si>
    <t>SV.04.03.00</t>
  </si>
  <si>
    <t>Hospitais, clínicas, laboratórios, sanatórios, manicômios, casas de saúde, prontos-socorros, ambulatórios e congêneres.</t>
  </si>
  <si>
    <t>SV.04.03.01</t>
  </si>
  <si>
    <t>SV.04.04.00</t>
  </si>
  <si>
    <t>SV.04.05.00</t>
  </si>
  <si>
    <t>SV.04.05.01</t>
  </si>
  <si>
    <t>SV.04.06.00</t>
  </si>
  <si>
    <t>SV.04.06.01</t>
  </si>
  <si>
    <t>SV.04.07.00</t>
  </si>
  <si>
    <t>SV.04.08.00</t>
  </si>
  <si>
    <t>SV.04.08.01</t>
  </si>
  <si>
    <t>SV.04.09.00</t>
  </si>
  <si>
    <t>SV.04.09.01</t>
  </si>
  <si>
    <t>SV.14.10.11</t>
  </si>
  <si>
    <t>SV.14.11.00</t>
  </si>
  <si>
    <t>SV.14.11.01</t>
  </si>
  <si>
    <t>SV.04.12.00</t>
  </si>
  <si>
    <t>SV.04.12.01</t>
  </si>
  <si>
    <t>SV.04.13.00</t>
  </si>
  <si>
    <t>SV.04.13.01</t>
  </si>
  <si>
    <t>SV.04.14.00</t>
  </si>
  <si>
    <t>SV.04.15.00</t>
  </si>
  <si>
    <t>SV.04.15.01</t>
  </si>
  <si>
    <t>SV.04.16.00</t>
  </si>
  <si>
    <t>SV.04.16.01</t>
  </si>
  <si>
    <t>SV.04.17.00</t>
  </si>
  <si>
    <t>SV.04.18.00</t>
  </si>
  <si>
    <t>SV.04.19.00</t>
  </si>
  <si>
    <t>SV.04.20.00</t>
  </si>
  <si>
    <t>SV.04.21.00</t>
  </si>
  <si>
    <t>SV.04.21.01</t>
  </si>
  <si>
    <t>SV.04.22.00</t>
  </si>
  <si>
    <t>SV.04.22.01</t>
  </si>
  <si>
    <t>Cooperativas - SEM CSLL BC de PIS, COFINS E IR Reduzida</t>
  </si>
  <si>
    <t>SV.04.22.02</t>
  </si>
  <si>
    <t>SV.04.23.00</t>
  </si>
  <si>
    <t>SV.04.23.01</t>
  </si>
  <si>
    <t>Cooparticipação Sem CSLL - BC Reduzida IR PIS E COFINS (Fatura)</t>
  </si>
  <si>
    <t>0,65% e 3%</t>
  </si>
  <si>
    <t>5979/ 5960</t>
  </si>
  <si>
    <t>SV.04.23.02</t>
  </si>
  <si>
    <t>SV.05.01.00</t>
  </si>
  <si>
    <t>SV.05.02.00</t>
  </si>
  <si>
    <t>SV.05.03.00</t>
  </si>
  <si>
    <t>SV.05.04.00</t>
  </si>
  <si>
    <t>SV.05.05.00</t>
  </si>
  <si>
    <t>SV.05.06.00</t>
  </si>
  <si>
    <t>SV.05.07.00</t>
  </si>
  <si>
    <t>SV.05.08.00</t>
  </si>
  <si>
    <t>SV.05.09.00</t>
  </si>
  <si>
    <t>SV.06.01.00</t>
  </si>
  <si>
    <t>SV.06.02.00</t>
  </si>
  <si>
    <t>SV.06.03.00</t>
  </si>
  <si>
    <t>SV.06.04.00</t>
  </si>
  <si>
    <t>SV.06.05.00</t>
  </si>
  <si>
    <t>SV.06.06.00</t>
  </si>
  <si>
    <t>Aplicação de tatuagens, p i e rc i n g s e congêneres.</t>
  </si>
  <si>
    <t>SV.07.01.00</t>
  </si>
  <si>
    <t>SV.07.01.01</t>
  </si>
  <si>
    <t>SV.07.01.02</t>
  </si>
  <si>
    <t>Eexclusivamente sobre atividade intelectual e de natureza científica </t>
  </si>
  <si>
    <t>SV.07.01.03</t>
  </si>
  <si>
    <t>Eexclusivamente sobre atividade intelectual e de natureza científica + INSS</t>
  </si>
  <si>
    <t>SV.07.02.00</t>
  </si>
  <si>
    <t>SV.07.02.01</t>
  </si>
  <si>
    <t>SV.07.02.02</t>
  </si>
  <si>
    <t>SV.07.02.03</t>
  </si>
  <si>
    <t>SV.07.02.04</t>
  </si>
  <si>
    <t>Serviço realizado for de conservação em bens imóveis</t>
  </si>
  <si>
    <t>4,65%</t>
  </si>
  <si>
    <t>SV.07.02.05</t>
  </si>
  <si>
    <t>Serviço realizado for de conservação em bens imóveis + INSS</t>
  </si>
  <si>
    <t>SV.07.02.06</t>
  </si>
  <si>
    <t>Material aplicado</t>
  </si>
  <si>
    <t>SV.07.03.00</t>
  </si>
  <si>
    <t xml:space="preserve">Elaboração de planos diretores, estudos de viabilidade, estudos organizacionais e outros, relacionados com obras e serviços de engenharia; elaboração de anteprojetos, projetos básicos e projetos executivos para trabalhos de engenharia </t>
  </si>
  <si>
    <t>SV.07.03.01</t>
  </si>
  <si>
    <t>SV.07.03.02</t>
  </si>
  <si>
    <t>Serviço contratado for cumulativo com outras etapas necessárias a execução (exemplos: estudo, projeto, execução e acompanhamento), não sendo tais serviços isolados </t>
  </si>
  <si>
    <t>SV.07.03.03</t>
  </si>
  <si>
    <t>Serviço contratado for cumulativo com outras etapas necessárias a execução (exemplos: estudo, projeto, execução e acompanhamento), não sendo tais serviços isolados + INSS</t>
  </si>
  <si>
    <t>SV.07.04.00</t>
  </si>
  <si>
    <t>Demolição</t>
  </si>
  <si>
    <t>SV.07.05.00</t>
  </si>
  <si>
    <t xml:space="preserve">Reparação, conservação e reforma de edifícios, estradas, pontes, portos e congêneres (exceto o fornecimento de mercadorias produzidas pelo prestador dos serviços, fora do local da prestação dos serviços, que fica sujeito ao ICMS) </t>
  </si>
  <si>
    <t>SV.07.05.01</t>
  </si>
  <si>
    <t>SV.07.05.02</t>
  </si>
  <si>
    <t>SV.07.05.03</t>
  </si>
  <si>
    <t>SV.07.06.00</t>
  </si>
  <si>
    <t xml:space="preserve">Colocação e instalação de tapetes, carpetes, assoalhos, cortinas, revestimentos de parede, vidros, divisórias, placas de gesso e congêneres, com material fornecido pelo tomador do serviço </t>
  </si>
  <si>
    <t>SV.07.06.01</t>
  </si>
  <si>
    <t>SV.07.07.00</t>
  </si>
  <si>
    <t xml:space="preserve">Recuperação, raspagem, polimento e lustração de pisos e congêneres </t>
  </si>
  <si>
    <t>SV.07.08.00</t>
  </si>
  <si>
    <t xml:space="preserve">Calafetação </t>
  </si>
  <si>
    <t>SV.07.09.00</t>
  </si>
  <si>
    <t xml:space="preserve">Varrição, coleta, remoção, incineração, tratamento, reciclagem, separação e destinação final de lixo, rejeitos e outros resíduos quaisquer </t>
  </si>
  <si>
    <t>SV.07.09.01</t>
  </si>
  <si>
    <t>SV.07.09.02</t>
  </si>
  <si>
    <t>Destinação final de Residuos</t>
  </si>
  <si>
    <t>SV.07.10.00</t>
  </si>
  <si>
    <t xml:space="preserve">Limpeza, manutenção e conservação de vias e logradouros públicos, imóveis, chaminés, piscinas, parques, jardins e congêneres </t>
  </si>
  <si>
    <t>2% ou 5%</t>
  </si>
  <si>
    <t>SV.07.10.01</t>
  </si>
  <si>
    <t>SV.07.10.02</t>
  </si>
  <si>
    <t>Processo padrão - Curitiba ISS 5%</t>
  </si>
  <si>
    <t>SV.07.10.03</t>
  </si>
  <si>
    <t>Cessão de Mão de Obra - INSS - Curitiba ISS 5%</t>
  </si>
  <si>
    <t>SV.07.11.00</t>
  </si>
  <si>
    <t xml:space="preserve">Decoração e jardinagem, inclusive corte e poda de árvores </t>
  </si>
  <si>
    <t>SV.07.11.01</t>
  </si>
  <si>
    <t>SV.07.12.00</t>
  </si>
  <si>
    <t xml:space="preserve">Controle e tratamento de efluentes de qualquer natureza e de agentes físicos, químicos e biológicos </t>
  </si>
  <si>
    <t>SV.07.12.01</t>
  </si>
  <si>
    <t>SV.07.13.00</t>
  </si>
  <si>
    <t xml:space="preserve">Dedetização, desinfecção, desinsetização, imunização, higienização, desratização, pulverização e congêneres </t>
  </si>
  <si>
    <t>SV.07.13.01</t>
  </si>
  <si>
    <t>SV.07.16.00</t>
  </si>
  <si>
    <t>Florestamento, reflorestamento, semeadura, adubação, reparação de solo, plantio, silagem, colheita, corte e descascamento de árvores, silvicultura, exploração florestal e dos serviços congêneres indissociáveis da formação, manutenção e colheita de florestas, para quaisquer fins e por quaisquer meios.</t>
  </si>
  <si>
    <t>SV.07.17.00</t>
  </si>
  <si>
    <t xml:space="preserve">Escoramento, contenção de encostas e serviços congêneres </t>
  </si>
  <si>
    <t>SV.07.18.00</t>
  </si>
  <si>
    <t xml:space="preserve">Limpeza e dragagem de rios, portos, canais, baías, lagos, lagoas, represas, açudes e congêneres </t>
  </si>
  <si>
    <t>SV.07.19.00</t>
  </si>
  <si>
    <t xml:space="preserve">Acompanhamento e fiscalização da execução de obras de engenharia, arquitetura e urbanismo </t>
  </si>
  <si>
    <t>SV.07.19.01</t>
  </si>
  <si>
    <t>Serviço contratado for cumulativo com outras etapas necessárias à execução (exemplos: estudo, projeto, execução e acompanhamento), não se tratando de serviços isolados </t>
  </si>
  <si>
    <t>SV.07.20.00</t>
  </si>
  <si>
    <t xml:space="preserve">Aerofotogrametria (inclusive interpretação), cartografia, mapeamento, levantamentos topográficos, batimétricos, geográficos, geodésicos, geológicos, geofísicos e congêneres </t>
  </si>
  <si>
    <t>SV.07.21.00</t>
  </si>
  <si>
    <t xml:space="preserve">Pesquisa, perfuração, cimentação, mergulho, perfilagem, concretação, testemunhagem, pescaria, estimulação e outros serviços relacionados com a exploração e explotação de petróleo, gás natural e de outros recursos minerais </t>
  </si>
  <si>
    <t>SV.07.21.01</t>
  </si>
  <si>
    <t>SV.07.22.00</t>
  </si>
  <si>
    <t xml:space="preserve">Nucleação e bombardeamento de nuvens e congêneres </t>
  </si>
  <si>
    <t>SV.07.22.01</t>
  </si>
  <si>
    <t>SV.08.01.00</t>
  </si>
  <si>
    <t xml:space="preserve">Ensino regular préescolar, fundamental, médio e superior </t>
  </si>
  <si>
    <t>SV.08.01.01</t>
  </si>
  <si>
    <t>SV.08.02.00</t>
  </si>
  <si>
    <t xml:space="preserve">Instrução, treinamento, orientação pedagógica e educacional, avaliação de conhecimentos de qualquer natureza </t>
  </si>
  <si>
    <t>SV.08.02.01</t>
  </si>
  <si>
    <t>SV.09.01.00</t>
  </si>
  <si>
    <t xml:space="preserve">Hospedagem de qualquer natureza em hotéis, apartservice condominiais, flat, aparthotéis, hotéis residência, residenceservice, suite service, hotelaria marítima, motéis, pensões e congêneres; ocupação por temporada com fornecimento de serviço (o valor da alimentação e gorjeta, quando incluído no preço da diária, fica sujeito ao Imposto Sobre Serviços) </t>
  </si>
  <si>
    <t>SV.09.02.00</t>
  </si>
  <si>
    <t xml:space="preserve">Agenciamento, organização, promoção, intermediação e execução de programas de turismo, passeios, viagens, excursões, hospedagens e congêneres </t>
  </si>
  <si>
    <t>SV.09.03.00</t>
  </si>
  <si>
    <t xml:space="preserve">Guias de turismo </t>
  </si>
  <si>
    <t>SV.10.01.00</t>
  </si>
  <si>
    <t xml:space="preserve">Agenciamento, corretagem ou intermediação de câmbio, de seguros, de cartões de crédito, de planos de saúde e de planos de previdência privada </t>
  </si>
  <si>
    <t>SV.10.02.00</t>
  </si>
  <si>
    <t xml:space="preserve">Agenciamento, corretagem ou intermediação de títulos em geral, valores mobiliários e contratos quaisquer </t>
  </si>
  <si>
    <t>SV.10.02.01</t>
  </si>
  <si>
    <t>Auto Retenção</t>
  </si>
  <si>
    <t>SV.10.03.00</t>
  </si>
  <si>
    <t xml:space="preserve">Agenciamento, corretagem ou intermediação de direitos de propriedade industrial, artística ou literária </t>
  </si>
  <si>
    <t>SV.10.04.00</t>
  </si>
  <si>
    <t>Agenciamento, corretagem ou intermediação de contratos de arrendamento mercantil (leasing), de franquia (franchising) e de faturização (factoring)</t>
  </si>
  <si>
    <t>SV.10.05.00</t>
  </si>
  <si>
    <t xml:space="preserve">Agenciamento, corretagem ou intermediação de bens móveis ou imóveis, não abrangidos em outros itens ou subitens, inclusive aqueles realizados no âmbito de Bolsas de Mercadorias e Futuros, por quaisquer meios </t>
  </si>
  <si>
    <t>-</t>
  </si>
  <si>
    <t>SV.10.05.01</t>
  </si>
  <si>
    <t>SV.10.06.00</t>
  </si>
  <si>
    <t>Agenciamento marítimo / Desconsolidação</t>
  </si>
  <si>
    <t>SV.10.07.00</t>
  </si>
  <si>
    <t xml:space="preserve">Agenciamento de notícias </t>
  </si>
  <si>
    <t>SV.10.08.00</t>
  </si>
  <si>
    <t xml:space="preserve">Agenciamento de publicidade e propaganda, inclusive o agenciamento de veiculação por quaisquer meios </t>
  </si>
  <si>
    <t>SV.10.08.01</t>
  </si>
  <si>
    <t>SV.10.09.00</t>
  </si>
  <si>
    <t xml:space="preserve">Representação de qualquer natureza, inclusive comercial </t>
  </si>
  <si>
    <t>SV.10.09.01</t>
  </si>
  <si>
    <t>Consultoria e assessoramento em processamento de programas e dados e para os demais serviços de informática</t>
  </si>
  <si>
    <t>SV.10.10.00</t>
  </si>
  <si>
    <t xml:space="preserve">Distribuição de bens de terceiros </t>
  </si>
  <si>
    <t>SV.11.01.00</t>
  </si>
  <si>
    <t xml:space="preserve">Guarda e estacionamento de veículos terrestres automotores, de aeronaves e de embarcações </t>
  </si>
  <si>
    <t>SV.11.02.00</t>
  </si>
  <si>
    <t>Vigilância, segurança ou monitoramento de bens, pessoas e semoventes.</t>
  </si>
  <si>
    <t>SV.11.02.01</t>
  </si>
  <si>
    <t>Monitoramento Eletrônico/Equipamento</t>
  </si>
  <si>
    <t>SV.11.03.00</t>
  </si>
  <si>
    <t xml:space="preserve">Escolta, inclusive de veículos e cargas </t>
  </si>
  <si>
    <t>SV.11.03.01</t>
  </si>
  <si>
    <t>SV.11.04.00</t>
  </si>
  <si>
    <t xml:space="preserve">Armazenamento, depósito, carga, descarga, arrumação e guarda de bens de qualquer espécie </t>
  </si>
  <si>
    <t>2,5%</t>
  </si>
  <si>
    <t>SV.11.04.01</t>
  </si>
  <si>
    <t>11.05</t>
  </si>
  <si>
    <t>SV.11.05.00</t>
  </si>
  <si>
    <t>Serviços relacionados ao monitoramento e rastreamento a distância, em qualquer via ou local, de veículos, cargas, pessoas e semoventes em circulação ou movimento, realizados por meio de telefonia móvel, transmissão de satélites, rádio ou qualquer outro meio, inclusive pelas empresas de Tecnologia da Informação Veicular, independentemente de o prestador de serviços ser proprietário ou não da infraestrutura de telecomunicações que utiliza.</t>
  </si>
  <si>
    <t xml:space="preserve">NR </t>
  </si>
  <si>
    <t>SV.12.01.00</t>
  </si>
  <si>
    <t xml:space="preserve">Espetáculos teatrais </t>
  </si>
  <si>
    <t>SV.12.02.00</t>
  </si>
  <si>
    <t xml:space="preserve">Exibições cinematográficas </t>
  </si>
  <si>
    <t>SV.12.03.00</t>
  </si>
  <si>
    <t xml:space="preserve">Espetáculos circenses </t>
  </si>
  <si>
    <t>SV.12.04.00</t>
  </si>
  <si>
    <t xml:space="preserve">Programas de auditório </t>
  </si>
  <si>
    <t>SV.12.05.00</t>
  </si>
  <si>
    <t xml:space="preserve">Parques de diversões, centros de lazer e congêneres </t>
  </si>
  <si>
    <t>SV.12.06.00</t>
  </si>
  <si>
    <t xml:space="preserve">Boates, taxidancing e congêneres </t>
  </si>
  <si>
    <t>SV.12.07.00</t>
  </si>
  <si>
    <t>Shows, ballet, danças, desfiles, bailes, óperas, concertos, recitais, festivais e congêneres</t>
  </si>
  <si>
    <t>SV.12.08.00</t>
  </si>
  <si>
    <t xml:space="preserve">Feiras, exposições, congressos e congêneres </t>
  </si>
  <si>
    <t>SV.12.08.01</t>
  </si>
  <si>
    <t>SV.12.09.00</t>
  </si>
  <si>
    <t xml:space="preserve">Bilhares, boliches e diversões eletrônicas ou não </t>
  </si>
  <si>
    <t>SV.12.10.00</t>
  </si>
  <si>
    <t xml:space="preserve">Corridas e competições de animais </t>
  </si>
  <si>
    <t>SV.12.11.00</t>
  </si>
  <si>
    <t xml:space="preserve">Competições esportivas ou de destreza física ou intelectual, com ou sem a participação do espectador </t>
  </si>
  <si>
    <t>SV.12.12.00</t>
  </si>
  <si>
    <t xml:space="preserve">Execução de música </t>
  </si>
  <si>
    <t>SV.12.13.00</t>
  </si>
  <si>
    <t xml:space="preserve">Produção, mediante ou sem encomenda prévia, de eventos, espetáculos, entrevistas, shows, ballet, danças, desfiles, bailes, teatros, óperas, concertos, recitais, festivais e congêneres </t>
  </si>
  <si>
    <t>SV.12.14.00</t>
  </si>
  <si>
    <t xml:space="preserve">Fornecimento de música para ambientes fechados ou não, mediante transmissão por qualquer processo </t>
  </si>
  <si>
    <t>SV.12.15.00</t>
  </si>
  <si>
    <t>Desfiles de blocos carnavalescos ou folclóricos, trios elétricos e congêneres</t>
  </si>
  <si>
    <t>SV.12.16.00</t>
  </si>
  <si>
    <t xml:space="preserve">Exibição de filmes, entrevistas, musicais, espetáculos, shows, concertos, desfiles, óperas, competições esportivas, de destreza intelectual ou congêneres </t>
  </si>
  <si>
    <t>SV.12.17.00</t>
  </si>
  <si>
    <t xml:space="preserve">Recreação e animação, inclusive em festas e eventos de qualquer natureza </t>
  </si>
  <si>
    <t>SV.13.02.00</t>
  </si>
  <si>
    <t xml:space="preserve">Fonografia ou gravação de sons, inclusive trucagem, dublagem, mixagem e congêneres </t>
  </si>
  <si>
    <t>SV.13.03.00</t>
  </si>
  <si>
    <t xml:space="preserve">Fotografia e cinematografia, inclusive revelação, ampliação, cópia, reprodução, trucagem e congêneres </t>
  </si>
  <si>
    <t>SV.13.04.00</t>
  </si>
  <si>
    <t xml:space="preserve">Reprografia, microfilmagem e digitalização </t>
  </si>
  <si>
    <t>SV.13.05.00</t>
  </si>
  <si>
    <t>Composição gráfica, inclusive confecção de impressos gráficos, fotocomposição, clicheria, zincografia, litografia e fotolitografia, exceto se destinados a posterior operação de comercialização ou industrialização, ainda que incorporados, de qualquer forma, a outra mercadoria que deva ser objeto de posterior circulação, tais como bulas, rótulos, etiquetas, caixas, cartuchos, embalagens e manuais técnicos e de instrução, quando ficarão sujeitos ao ICMS.</t>
  </si>
  <si>
    <t>SV.14.01.00</t>
  </si>
  <si>
    <t xml:space="preserve">Lubrificação, limpeza, lustração, revisão, carga e recarga, conserto, restauração, blindagem, manutenção e conservação de máquinas, veículos, aparelhos, equipamentos, motores, elevadores ou de qualquer objeto (exceto peças e partes empregadas, que ficam sujeitas ao ICMS) </t>
  </si>
  <si>
    <t xml:space="preserve">Manutenção Preventiva </t>
  </si>
  <si>
    <t>NR (</t>
  </si>
  <si>
    <t>SV.14.01.01</t>
  </si>
  <si>
    <t>Manutenção Preventiva - Bens Imóveis (o solo e tudo que for lhe for incorporado, natural ou artificialmente)</t>
  </si>
  <si>
    <t>SV.14.01.02</t>
  </si>
  <si>
    <t>Manutenção Preventiva - Cessão de Mão de Obra</t>
  </si>
  <si>
    <t>SV.14.01.03</t>
  </si>
  <si>
    <t>Manutenção Preventiva - Bens Imóveis (o solo e tudo que for lhe for incorporado, natural ou artificialmente) - Cessão de Mão de Obra</t>
  </si>
  <si>
    <t>SV.14.01.04</t>
  </si>
  <si>
    <t>Manutenção Corretiva</t>
  </si>
  <si>
    <t>SV.14.01.05</t>
  </si>
  <si>
    <t>Manutenção Corretiva - Cessão de Mão de Obra</t>
  </si>
  <si>
    <t>SV.14.02.00</t>
  </si>
  <si>
    <t xml:space="preserve">Assistência técnica </t>
  </si>
  <si>
    <t>SV.14.02.01</t>
  </si>
  <si>
    <t>SV.14.03.00</t>
  </si>
  <si>
    <t xml:space="preserve">Recondicionamento de motores (exceto peças e partes empregadas, que ficam sujeitas ao ICMS) </t>
  </si>
  <si>
    <t>SV.14.04.00</t>
  </si>
  <si>
    <t xml:space="preserve">Recauchutagem ou regeneração de pneus </t>
  </si>
  <si>
    <t>SV.14.05.00</t>
  </si>
  <si>
    <t>Restauração, recondicionamento, acondicionamento, pintura, beneficiamento, lavagem, secagem, tingimento, galvanoplastia, anodização, corte, recorte, plastificação, costura, acabamento, polimento e congêneres de objetos quaisquer.</t>
  </si>
  <si>
    <t>SV.14.05.01</t>
  </si>
  <si>
    <t>SV.14.06.00</t>
  </si>
  <si>
    <t xml:space="preserve">Instalação e montagem de aparelhos, máquinas e equipamentos, inclusive montagem industrial, prestados ao usuário final, exclusivamente com material por ele fornecido </t>
  </si>
  <si>
    <t>SV.14.06.01</t>
  </si>
  <si>
    <t>SV.14.08.00</t>
  </si>
  <si>
    <t>Encadernação, gravação e douração de livros, revistas e congêneres</t>
  </si>
  <si>
    <t>SV.14.08.01</t>
  </si>
  <si>
    <t>SV.14.09.00</t>
  </si>
  <si>
    <t>Alfaiataria e costura, quando o material for fornecido pelo usuário final, exceto aviamento</t>
  </si>
  <si>
    <t>SV.14.09.01</t>
  </si>
  <si>
    <t>SV.14.10.00</t>
  </si>
  <si>
    <t>Tinturaria e lavanderia</t>
  </si>
  <si>
    <t>SV.14.10.01</t>
  </si>
  <si>
    <t>Tapeçaria e reforma de estofamentos em geral</t>
  </si>
  <si>
    <t>SV.14.12.00</t>
  </si>
  <si>
    <t>Funilaria e lanternagem</t>
  </si>
  <si>
    <t>SV.14.12.01</t>
  </si>
  <si>
    <t>SV.14.13.00</t>
  </si>
  <si>
    <t xml:space="preserve">Carpintaria e serralheria </t>
  </si>
  <si>
    <t>SV.14.14.00</t>
  </si>
  <si>
    <t>Guincho intramunicipal, guindaste e içamento.</t>
  </si>
  <si>
    <t>SV.15.01.00</t>
  </si>
  <si>
    <t xml:space="preserve">Administração de fundos quaisquer, de consórcio, de cartão de crédito ou débito e congêneres, de carteira de clientes, de cheques prédatados e congêneres </t>
  </si>
  <si>
    <t>SV.15.02.00</t>
  </si>
  <si>
    <t xml:space="preserve">Abertura de contas em geral, inclusive contacorrente, conta de investimentos e aplicação e caderneta de poupança, no País e no exterior, bem como a manutenção das referidas contas ativas e inativas </t>
  </si>
  <si>
    <t>SV.15.03.00</t>
  </si>
  <si>
    <t xml:space="preserve">Locação e manutenção de cofres particulares, de terminais eletrônicos, de terminais de atendimento e de bens e equipamentos em geral </t>
  </si>
  <si>
    <t>SV.15.03.01</t>
  </si>
  <si>
    <t>Limpeza e manutenção ou conservação</t>
  </si>
  <si>
    <t>SV.15.04.00</t>
  </si>
  <si>
    <t xml:space="preserve">Fornecimento ou emissão de atestados em geral, inclusive atestado de idoneidade, atestado de capacidade financeira e congêneres </t>
  </si>
  <si>
    <t>SV.15.05.00</t>
  </si>
  <si>
    <t xml:space="preserve">Cadastro, elaboração de ficha cadastral, renovação cadastral e congêneres, inclusão ou exclusão no Cadastro de Emitentes de Cheques sem Fundos - CCF ou em quaisquer outros bancos cadastrais </t>
  </si>
  <si>
    <t>SV.15.06.00</t>
  </si>
  <si>
    <t xml:space="preserve">Emissão, reemissão e fornecimento de avisos, comprovantes e documentos em geral; abono de firmas; coleta e entrega de documentos, bens e valores; comunicação com outra agência ou com a administração central; licenciamento eletrônico de veículos; transferência de veículos; agenciamento fiduciário ou depositário; devolução de bens em custódia </t>
  </si>
  <si>
    <t>SV.15.06.01</t>
  </si>
  <si>
    <t>Sserviço de assessoria e consultoria técnica e de administração de bens ou negócios em geral, natureza profissional</t>
  </si>
  <si>
    <t>SV.15.07.00</t>
  </si>
  <si>
    <t xml:space="preserve">Acesso, movimentação, atendimento e consulta a contas em geral, por qualquer meio ou processo, inclusive por telefone, facsímile, internet e telex, acesso a terminais de atendimento, inclusive vinte e quatro horas; acesso a outro banco e a rede compartilhada; fornecimento de saldo, extrato e demais informações relativas a contas em geral, por qualquer meio ou processo </t>
  </si>
  <si>
    <t>SV.15.08.00</t>
  </si>
  <si>
    <t xml:space="preserve">Emissão, reemissão, alteração, cessão, substituição, cancelamento e registro de contrato de crédito; estudo, análise e avaliação de operações de crédito; emissão, concessão, alteração ou contratação de aval, fiança, anuência e congêneres; serviços relativos a abertura de crédito, para quaisquer fins </t>
  </si>
  <si>
    <t>SV.15.09.00</t>
  </si>
  <si>
    <t xml:space="preserve">Arrendamento mercantil (leasing) de quaisquer bens, inclusive cessão de direitos e obrigações, substituição de garantia, alteração, cancelamento e registro de contrato, e demais serviços relacionados ao arrendamento mercantil (leasing) </t>
  </si>
  <si>
    <t>SV.15.10.00</t>
  </si>
  <si>
    <t xml:space="preserve">Serviços relacionados a cobranças, recebimentos ou pagamentos em geral, de títulos quaisquer, de contas ou carnês, de câmbio, de tributos e por conta de terceiros, inclusive os efetuados por meio eletrônico, automático ou por máquinas de atendimento; fornecimento de posiç ão de cobrança, recebimento ou pagamento; emissão de carnês, fichas de compensação, impressos e documentos em geral </t>
  </si>
  <si>
    <t>SV.15.10.01</t>
  </si>
  <si>
    <t>Não se caracterize serviços de natureza profissional</t>
  </si>
  <si>
    <t>SV.15.11.00</t>
  </si>
  <si>
    <t xml:space="preserve">Devolução de títulos, protesto de títulos, sustação de protesto, manutenção de títulos, reapresentação de títulos, e demais serviços a eles relacionados </t>
  </si>
  <si>
    <t>SV.15.12.00</t>
  </si>
  <si>
    <t xml:space="preserve">Custódia em geral, inclusive de títulos e valores mobiliários </t>
  </si>
  <si>
    <t>SV.15.13.00</t>
  </si>
  <si>
    <t xml:space="preserve">Serviços relacionados a operações de câmbio em geral, edição, alteração, prorrogação, cancelamento e baixa de contrato de câmbio; emissão de registro de exportação ou de crédito; cobrança ou depósito no exterior; emissão, fornecimento e cancelamento de cheques de viagem; fornecimento, transferência, cancelamento e demais serviços relativos a carta de crédito de importação, exportação e garantias recebidas; envio e recebimento de mensagens em geral relacionadas a operações de câmbio </t>
  </si>
  <si>
    <t>SV.15.14.00</t>
  </si>
  <si>
    <t xml:space="preserve">Fornecimento, emissão, reemissão, renovação e manutenção de cartão magnético, cartão de crédito, cartão de débito, cartão salário e congêneres </t>
  </si>
  <si>
    <t>SV.15.15.00</t>
  </si>
  <si>
    <t xml:space="preserve">Compensação de cheques e títulos quaisquer; serviços relacionados a depósito, inclusive depósito identificado, a saque de contas quaisquer, por qualquer meio ou processo, inclusive em terminais eletrônicos e de atendimento </t>
  </si>
  <si>
    <t>SV.15.16.00</t>
  </si>
  <si>
    <t xml:space="preserve">Emissão, reemissão, liquidação, alteração, cancelamento e baixa de ordens de pagamento, ordens de crédito e similares, por qualquer meio ou processo; serviços relacionados à transferência de valores, dados, fundos, pagamentos e similares, inclusive entre contas em geral </t>
  </si>
  <si>
    <t>SV.15.17.00</t>
  </si>
  <si>
    <t xml:space="preserve">Emissão, fornecimento, devolução, sustação, cancelamento e oposição de cheques quaisquer, avulso ou por talão </t>
  </si>
  <si>
    <t>SV.15.18.00</t>
  </si>
  <si>
    <t xml:space="preserve">Serviços relacionados a crédito imobiliário, avaliação e vistoria de imóvel ou obra, análise técnica e jurídica, emissão, reemissão, alteração, transferência e renegociação de contrato, emissão e reemissão do termo de quitação e demais serviços relacionados a crédito imobiliário </t>
  </si>
  <si>
    <t>SV.16.01.00</t>
  </si>
  <si>
    <t>Serviços de transporte coletivo municipal rodoviário, metroviário, ferroviário e aquaviário de passageiros.</t>
  </si>
  <si>
    <t>SV.16.01.01</t>
  </si>
  <si>
    <t>30% BC Cessão de Mão de Obra - INSS</t>
  </si>
  <si>
    <t>SV.16.01.02</t>
  </si>
  <si>
    <t>Cooperativas</t>
  </si>
  <si>
    <t>SV.16.02.00</t>
  </si>
  <si>
    <t>Outros serviços de transporte de natureza municipal.</t>
  </si>
  <si>
    <t>SV.16.02.01</t>
  </si>
  <si>
    <t>SV.17.01.00</t>
  </si>
  <si>
    <t>SV.17.01.01</t>
  </si>
  <si>
    <t>SV.17.01.02</t>
  </si>
  <si>
    <t>Serviços de assessoria e consultoria técnica, bem como pela remuneração de serviços profissionais</t>
  </si>
  <si>
    <t>SV.17.01.03</t>
  </si>
  <si>
    <t>Serviços de assessoria e consultoria técnica, bem como pela remuneração de serviços profissionais + INSS</t>
  </si>
  <si>
    <t>SV.17.02.00</t>
  </si>
  <si>
    <t xml:space="preserve">Datilografia, digitação, estenografia, expediente, secretaria em geral, resposta audível, redação, edição, interpretação, revisão, tradução, apoio e infraestrutura administrativa e congêneres </t>
  </si>
  <si>
    <t>SV.17.02.01</t>
  </si>
  <si>
    <t>SV.17.03.00</t>
  </si>
  <si>
    <t xml:space="preserve">Planejamento, coordenação, programação ou organização técnica, financeira ou administrativa </t>
  </si>
  <si>
    <t>SV.17.04.00</t>
  </si>
  <si>
    <t xml:space="preserve">Recrutamento, agenciamento, seleção e colocação de mão-de-obra </t>
  </si>
  <si>
    <t>SV.17.04.01</t>
  </si>
  <si>
    <t>Análise de informações de fontes cadastrais externas à empresa, ou incluídos entre os serviços profissionais de psicologia, consultoria ou assessoramento, ficam sujeitos à retenção na fonte das contribuições sociais, pois passam a serem considerados serviços profissionais descritos no artigo 714, § 1º, do RIR/2018 (análises técnicas, assessoria e consultoria técnica e de psicologia e psicanálise).
Quando os serviços de recrutamento e seleção envolverem a análise de informações de fontes cadastrais externas à empresa, ou incluídos entre os serviços profissionais de psicologia, consultoria ou assessoramento, ficarão sujeitos à retenção na fonte das contribuições sociais conforme os serviços profissionais descritos no artigo 714, § 1º, do RIR/2018, de análises técnicas, assessoria e consultoria técnica e de psicologia e psicanálise (artigo 1º da IN SRF nº 459/2004).</t>
  </si>
  <si>
    <t>SV.17.05.00</t>
  </si>
  <si>
    <t xml:space="preserve">Fornecimento de mão-de-obra, mesmo em caráter temporário, inclusive de empregados ou trabalhadores, avulsos ou temporários, contratados pelo prestador de serviço </t>
  </si>
  <si>
    <t>SV.17.06.00</t>
  </si>
  <si>
    <t xml:space="preserve">Propaganda e publicidade, inclusive promoção de vendas, planejamento de campanhas ou sistemas de publicidade, elaboração de desenhos, textos e demais materiais publicitários </t>
  </si>
  <si>
    <t>SV.17.08.00</t>
  </si>
  <si>
    <t>Franquia (franchising)</t>
  </si>
  <si>
    <t>SV.17.09.00</t>
  </si>
  <si>
    <t xml:space="preserve">Perícias, laudos, exames técnicos e análises técnicas </t>
  </si>
  <si>
    <t>SV.17.10.00</t>
  </si>
  <si>
    <t xml:space="preserve">Planejamento, organização e administração de feiras, exposições, congressos e congêneres </t>
  </si>
  <si>
    <t>SV.17.11.00</t>
  </si>
  <si>
    <t xml:space="preserve">Organização de festas e recepções; bufê (exceto o fornecimento de alimentação e bebidas, que fica sujeito ao ICMS) </t>
  </si>
  <si>
    <t>SV.17.12.00</t>
  </si>
  <si>
    <t xml:space="preserve">Administração em geral, inclusive de bens e negócios de terceiros </t>
  </si>
  <si>
    <t>SV.17.13.00</t>
  </si>
  <si>
    <t xml:space="preserve">Leilão e congêneres </t>
  </si>
  <si>
    <t>SV.17.14.00</t>
  </si>
  <si>
    <t xml:space="preserve">Advocacia </t>
  </si>
  <si>
    <t>SV.17.15.00</t>
  </si>
  <si>
    <t xml:space="preserve">Arbitragem de qualquer espécie, inclusive jurídica </t>
  </si>
  <si>
    <t>SV.17.16.00</t>
  </si>
  <si>
    <t xml:space="preserve">Auditoria </t>
  </si>
  <si>
    <t>SV.17.16.01</t>
  </si>
  <si>
    <t>Processo padrão + INSS</t>
  </si>
  <si>
    <t>SV.17.17.00</t>
  </si>
  <si>
    <t xml:space="preserve">Análise de Organização e Métodos </t>
  </si>
  <si>
    <t>SV.17.18.00</t>
  </si>
  <si>
    <t xml:space="preserve">Atuária e cálculos técnicos de qualquer natureza </t>
  </si>
  <si>
    <t>SV.17.19.00</t>
  </si>
  <si>
    <t xml:space="preserve">Contabilidade, inclusive serviços técnicos e auxiliares </t>
  </si>
  <si>
    <t>SV.17.19.01</t>
  </si>
  <si>
    <t>SV.17.20.00</t>
  </si>
  <si>
    <t xml:space="preserve">Consultoria e assessoria econômica ou financeira </t>
  </si>
  <si>
    <t>SV.17.21.00</t>
  </si>
  <si>
    <t xml:space="preserve">Estatística </t>
  </si>
  <si>
    <t>SV.17.22.00</t>
  </si>
  <si>
    <t xml:space="preserve">Cobrança em geral </t>
  </si>
  <si>
    <t>SV.17.23.00</t>
  </si>
  <si>
    <t>Assessoria, análise, avaliação, atendimento, consulta, cadastro, seleção, gerenciamento de informações, administração de contas a receber ou a pagar e em geral, relacionados a operações de faturização (factoring)</t>
  </si>
  <si>
    <t>SV.17.23.01</t>
  </si>
  <si>
    <t>SV.17.24.00</t>
  </si>
  <si>
    <t>Apresentação de palestras, conferências, seminários e congêneres</t>
  </si>
  <si>
    <t>SV.17.25.00</t>
  </si>
  <si>
    <t>Inserção de textos, desenhos e outros materiais de propaganda e publicidade, em qualquer meio (exceto em livros, jornais, periódicos e nas modalidades de serviços de radiodifusão sonora e de sons e imagens de recepção livre e gratuita).</t>
  </si>
  <si>
    <t>SV.18.01.00</t>
  </si>
  <si>
    <t xml:space="preserve">Serviços de regulação de sinistros vinculados a contratos de seguros; inspeção e avaliação de riscos para cobertura de contratos de seguros; prevenção e gerência de riscos seguráveis e congêneres </t>
  </si>
  <si>
    <t>SV.19.01.00</t>
  </si>
  <si>
    <t xml:space="preserve">Serviços de distribuição e venda de bilhetes e demais produtos de loteria, bingos, cartões, pules ou cupons de apostas, sorteios, prêmios, inclusive os decorrentes de títulos de capitalização e congêneres </t>
  </si>
  <si>
    <t>SV.20.01.00</t>
  </si>
  <si>
    <t xml:space="preserve">Serviços portuários, ferroportuários, utilização de porto, movimentação de passageiros, reboque de embarcações, rebocador escoteiro, atracação, desatracação, serviços de praticagem, capatazia, armazenagem de qualquer natureza, serviços acessórios, movimentação de mercadorias, serviços de apoio marítimo, de movimentação ao largo, serviços de armadores, estiva, conferência, logística e congêneres </t>
  </si>
  <si>
    <t>SV.20.01.01</t>
  </si>
  <si>
    <t>Serviços de armazenamento, movimentação e transporte de mercadorias, monitoramento da temperatura de contêineres, logística, armazenagem de contêiner, operador portuário (movimentação e armazenagem de mercadorias destinadas ou provenientes de transporte aquaviário), atividades alfandegadas na zona de embarques de navios, e locação de veículos, máquinas e equipamentos, por não se caracterizarem serviços profissionais previstos no artigo 714, § 1º do RIR/2018, não estão sujeitos à retenção das CSRF.</t>
  </si>
  <si>
    <t>SV.20.02.00</t>
  </si>
  <si>
    <t>Serviços aeroportuários, utilização de aeroporto, movimentação de passageiros, armazenagem de qualquer natureza, capatazia, movimentação de aeronaves, serviços de apoio aeroportuários, serviços acessórios, movimentação de mercadorias, logística e congêneres</t>
  </si>
  <si>
    <t>SV.20.02.01</t>
  </si>
  <si>
    <t>SV.20.03.00</t>
  </si>
  <si>
    <t xml:space="preserve">Serviços de terminais rodoviários, ferroviários, metroviários, movimentação de passageiros, mercadorias, inclusive suas operações, logística e congêneres </t>
  </si>
  <si>
    <t>SV.20.03.01</t>
  </si>
  <si>
    <t>Remuneração de serviços profissionais, consistente na administração de bens ou negócios em geral</t>
  </si>
  <si>
    <t>SV.21.01.00</t>
  </si>
  <si>
    <t xml:space="preserve">Serviços de registros públicos, cartorários e notariais </t>
  </si>
  <si>
    <t>SV.22.01.00</t>
  </si>
  <si>
    <t xml:space="preserve">Serviços de exploração de rodovia mediante cobrança de preço ou pedágio dos usuários, envolvendo execução de serviços de conservação, manutenção, melhoramentos para adequação de capacidade e segurança de trânsito, operação, monitoração, assistência aos usuá rios e outros serviços definidos em contratos, atos de concessão ou de permissão ou em normas oficiais </t>
  </si>
  <si>
    <t>SV.23.01.00</t>
  </si>
  <si>
    <t xml:space="preserve">Serviços de programação e comunicação visual, desenho industrial e congêneres </t>
  </si>
  <si>
    <t>SV.24.01.00</t>
  </si>
  <si>
    <t xml:space="preserve">Serviços de chaveiros, confecção de carimbos, placas, sinalização visual, banners, adesivos e congêneres </t>
  </si>
  <si>
    <t>SV.25.01.00</t>
  </si>
  <si>
    <t xml:space="preserve">Funerais, inclusive fornecimento de caixão, urna ou esquifes; aluguel de capela; transporte do corpo cadavérico; fornecimento de flores, coroas e outros paramentos; desembaraço de certidão de óbito; fornecimento de véu, essa e outros adornos; embalsamento, embelezamento, conservação ou restauração de cadáveres </t>
  </si>
  <si>
    <t>SV.25.02.00</t>
  </si>
  <si>
    <t>Translado intramunicipal e cremação de corpos e partes de corpos cadavéricos.</t>
  </si>
  <si>
    <t>SV.25.03.00</t>
  </si>
  <si>
    <t xml:space="preserve">Planos ou convênio funerários </t>
  </si>
  <si>
    <t>SV.25.04.00</t>
  </si>
  <si>
    <t xml:space="preserve">Manutenção e conservação de jazigos e cemitérios </t>
  </si>
  <si>
    <t>SV.25.05.00</t>
  </si>
  <si>
    <t>Cessão de uso de espaços em cemitérios para sepultamento</t>
  </si>
  <si>
    <t>SV.26.01.00</t>
  </si>
  <si>
    <t xml:space="preserve">Serviços de coleta, remessa ou entrega de correspondências, documentos, objetos, bens ou valores, inclusive pelos correios e suas agências franqueadas; courrier e congêneres </t>
  </si>
  <si>
    <t>SV.26.01.01</t>
  </si>
  <si>
    <t>Transporte de Valores</t>
  </si>
  <si>
    <t>SV.27.01.00</t>
  </si>
  <si>
    <t xml:space="preserve">Serviços de assistência social </t>
  </si>
  <si>
    <t>SV.28.01.00</t>
  </si>
  <si>
    <t xml:space="preserve">Serviços de avaliação de bens e serviços de qualquer natureza </t>
  </si>
  <si>
    <t>SV.29.01.00</t>
  </si>
  <si>
    <t xml:space="preserve">Serviços de biblioteconomia </t>
  </si>
  <si>
    <t>SV.30.01.00</t>
  </si>
  <si>
    <t xml:space="preserve">Serviços de biologia, biotecnologia e química </t>
  </si>
  <si>
    <t>SV.31.01.00</t>
  </si>
  <si>
    <t xml:space="preserve">Serviços técnicos em edificações, eletrônica, eletrotécnica, mecânica, telecomunicações e congê neres </t>
  </si>
  <si>
    <t>SV.32.01.00</t>
  </si>
  <si>
    <t xml:space="preserve">Serviços de desenhos técnicos </t>
  </si>
  <si>
    <t>SV.32.01.01</t>
  </si>
  <si>
    <t>SV.33.01.00</t>
  </si>
  <si>
    <t xml:space="preserve">Serviços de desembaraço aduaneiro, comissários, despachantes e congêneres </t>
  </si>
  <si>
    <t>SV.34.01.00</t>
  </si>
  <si>
    <t xml:space="preserve">Serviços de investigações particulares, detetives e congêneres </t>
  </si>
  <si>
    <t>SV.35.01.00</t>
  </si>
  <si>
    <t xml:space="preserve">Serviços de reportagem, assessoria de imprensa, jornalismo e relações públicas </t>
  </si>
  <si>
    <t>SV.35.01.01</t>
  </si>
  <si>
    <t>SV.36.01.00</t>
  </si>
  <si>
    <t xml:space="preserve">Serviços de meteorologia </t>
  </si>
  <si>
    <t>SV.37.01.00</t>
  </si>
  <si>
    <t xml:space="preserve">Serviços de artistas, atletas, modelos e manequins </t>
  </si>
  <si>
    <t>SV.38.01.00</t>
  </si>
  <si>
    <t xml:space="preserve">Serviços de museologia </t>
  </si>
  <si>
    <t>SV.39.01.00</t>
  </si>
  <si>
    <t xml:space="preserve">Serviços de ourivesaria e lapidação (quando o material for fornecido pelo tomador do serviço) </t>
  </si>
  <si>
    <t>SV.40.01.00</t>
  </si>
  <si>
    <t>SV.10.03.01</t>
  </si>
  <si>
    <t>SV.14.02.02</t>
  </si>
  <si>
    <t>Alto grau de especialização</t>
  </si>
  <si>
    <t>SV17.06.01</t>
  </si>
  <si>
    <t>Retenção "normal"</t>
  </si>
  <si>
    <t xml:space="preserve"> </t>
  </si>
  <si>
    <t>CHAVE 1</t>
  </si>
  <si>
    <t>CHAVE 2</t>
  </si>
  <si>
    <t>Total Retido</t>
  </si>
  <si>
    <t>🔔 Instruções para Preenchimento da Planilha</t>
  </si>
  <si>
    <t>1. Células de Preenchimento Manual (Amarelo Claro):</t>
  </si>
  <si>
    <r>
      <t xml:space="preserve">As </t>
    </r>
    <r>
      <rPr>
        <b/>
        <sz val="11"/>
        <color theme="1"/>
        <rFont val="Calibri"/>
        <family val="2"/>
        <scheme val="minor"/>
      </rPr>
      <t>células com fundo amarelo claro</t>
    </r>
    <r>
      <rPr>
        <sz val="11"/>
        <color theme="1"/>
        <rFont val="Calibri"/>
        <family val="2"/>
        <scheme val="minor"/>
      </rPr>
      <t xml:space="preserve"> devem ser </t>
    </r>
    <r>
      <rPr>
        <b/>
        <sz val="11"/>
        <color theme="1"/>
        <rFont val="Calibri"/>
        <family val="2"/>
        <scheme val="minor"/>
      </rPr>
      <t>preenchidas obrigatoriamente pelo usuário</t>
    </r>
    <r>
      <rPr>
        <sz val="11"/>
        <color theme="1"/>
        <rFont val="Calibri"/>
        <family val="2"/>
        <scheme val="minor"/>
      </rPr>
      <t>.</t>
    </r>
  </si>
  <si>
    <t>Insira todas as informações com atenção e precisão.</t>
  </si>
  <si>
    <r>
      <t xml:space="preserve">Caso </t>
    </r>
    <r>
      <rPr>
        <b/>
        <sz val="11"/>
        <color theme="1"/>
        <rFont val="Calibri"/>
        <family val="2"/>
        <scheme val="minor"/>
      </rPr>
      <t>não haja valor a ser informado</t>
    </r>
    <r>
      <rPr>
        <sz val="11"/>
        <color theme="1"/>
        <rFont val="Calibri"/>
        <family val="2"/>
        <scheme val="minor"/>
      </rPr>
      <t xml:space="preserve">, utilize </t>
    </r>
    <r>
      <rPr>
        <b/>
        <sz val="11"/>
        <color theme="1"/>
        <rFont val="Calibri"/>
        <family val="2"/>
        <scheme val="minor"/>
      </rPr>
      <t>zero (0)</t>
    </r>
    <r>
      <rPr>
        <sz val="11"/>
        <color theme="1"/>
        <rFont val="Calibri"/>
        <family val="2"/>
        <scheme val="minor"/>
      </rPr>
      <t xml:space="preserve"> ou deixe o campo em branco apenas se for permitido.</t>
    </r>
  </si>
  <si>
    <t>2. Células de Preenchimento Automático (Cinza):</t>
  </si>
  <si>
    <r>
      <t xml:space="preserve">As </t>
    </r>
    <r>
      <rPr>
        <b/>
        <sz val="11"/>
        <color theme="1"/>
        <rFont val="Calibri"/>
        <family val="2"/>
        <scheme val="minor"/>
      </rPr>
      <t>células com fundo cinza</t>
    </r>
    <r>
      <rPr>
        <sz val="11"/>
        <color theme="1"/>
        <rFont val="Calibri"/>
        <family val="2"/>
        <scheme val="minor"/>
      </rPr>
      <t xml:space="preserve"> são preenchidas automaticamente pelo sistema.</t>
    </r>
  </si>
  <si>
    <r>
      <t>Não altere ou edite</t>
    </r>
    <r>
      <rPr>
        <sz val="11"/>
        <color theme="1"/>
        <rFont val="Calibri"/>
        <family val="2"/>
        <scheme val="minor"/>
      </rPr>
      <t xml:space="preserve"> essas células manualmente, pois elas são calculadas ou derivadas de outras informações.</t>
    </r>
  </si>
  <si>
    <t>Qualquer alteração manual nessas células poderá comprometer a validação da planilha.</t>
  </si>
  <si>
    <t>3. Validação da Planilha:</t>
  </si>
  <si>
    <r>
      <t xml:space="preserve">A planilha será considerada </t>
    </r>
    <r>
      <rPr>
        <b/>
        <sz val="11"/>
        <color theme="1"/>
        <rFont val="Calibri"/>
        <family val="2"/>
        <scheme val="minor"/>
      </rPr>
      <t>válida</t>
    </r>
    <r>
      <rPr>
        <sz val="11"/>
        <color theme="1"/>
        <rFont val="Calibri"/>
        <family val="2"/>
        <scheme val="minor"/>
      </rPr>
      <t xml:space="preserve"> apenas quando:</t>
    </r>
  </si>
  <si>
    <r>
      <t xml:space="preserve">A </t>
    </r>
    <r>
      <rPr>
        <b/>
        <sz val="11"/>
        <color theme="1"/>
        <rFont val="Calibri"/>
        <family val="2"/>
        <scheme val="minor"/>
      </rPr>
      <t xml:space="preserve">célula </t>
    </r>
    <r>
      <rPr>
        <b/>
        <sz val="10"/>
        <color theme="1"/>
        <rFont val="Arial Unicode MS"/>
      </rPr>
      <t>I3</t>
    </r>
    <r>
      <rPr>
        <sz val="11"/>
        <color theme="1"/>
        <rFont val="Calibri"/>
        <family val="2"/>
        <scheme val="minor"/>
      </rPr>
      <t xml:space="preserve"> contiver o texto </t>
    </r>
    <r>
      <rPr>
        <b/>
        <sz val="11"/>
        <color theme="1"/>
        <rFont val="Calibri"/>
        <family val="2"/>
        <scheme val="minor"/>
      </rPr>
      <t>“OK”</t>
    </r>
    <r>
      <rPr>
        <sz val="11"/>
        <color theme="1"/>
        <rFont val="Calibri"/>
        <family val="2"/>
        <scheme val="minor"/>
      </rPr>
      <t xml:space="preserve"> (sem aspas), indicando que todos os campos obrigatórios foram preenchidos corretamente.</t>
    </r>
  </si>
  <si>
    <r>
      <t xml:space="preserve">A </t>
    </r>
    <r>
      <rPr>
        <b/>
        <sz val="11"/>
        <color theme="1"/>
        <rFont val="Calibri"/>
        <family val="2"/>
        <scheme val="minor"/>
      </rPr>
      <t xml:space="preserve">célula </t>
    </r>
    <r>
      <rPr>
        <b/>
        <sz val="10"/>
        <color theme="1"/>
        <rFont val="Arial Unicode MS"/>
      </rPr>
      <t>I2</t>
    </r>
    <r>
      <rPr>
        <sz val="11"/>
        <color theme="1"/>
        <rFont val="Calibri"/>
        <family val="2"/>
        <scheme val="minor"/>
      </rPr>
      <t xml:space="preserve"> estiver com o fundo </t>
    </r>
    <r>
      <rPr>
        <b/>
        <sz val="11"/>
        <color theme="1"/>
        <rFont val="Calibri"/>
        <family val="2"/>
        <scheme val="minor"/>
      </rPr>
      <t>verde</t>
    </r>
    <r>
      <rPr>
        <sz val="11"/>
        <color theme="1"/>
        <rFont val="Calibri"/>
        <family val="2"/>
        <scheme val="minor"/>
      </rPr>
      <t xml:space="preserve">, indicando que </t>
    </r>
    <r>
      <rPr>
        <b/>
        <sz val="11"/>
        <color theme="1"/>
        <rFont val="Calibri"/>
        <family val="2"/>
        <scheme val="minor"/>
      </rPr>
      <t>não há pendências</t>
    </r>
    <r>
      <rPr>
        <sz val="11"/>
        <color theme="1"/>
        <rFont val="Calibri"/>
        <family val="2"/>
        <scheme val="minor"/>
      </rPr>
      <t>.</t>
    </r>
  </si>
  <si>
    <t>4. Em caso de erro ou pendência:</t>
  </si>
  <si>
    <r>
      <t xml:space="preserve">Se houver </t>
    </r>
    <r>
      <rPr>
        <b/>
        <sz val="11"/>
        <color theme="1"/>
        <rFont val="Calibri"/>
        <family val="2"/>
        <scheme val="minor"/>
      </rPr>
      <t>informações faltantes ou incorretas</t>
    </r>
    <r>
      <rPr>
        <sz val="11"/>
        <color theme="1"/>
        <rFont val="Calibri"/>
        <family val="2"/>
        <scheme val="minor"/>
      </rPr>
      <t xml:space="preserve">, a célula </t>
    </r>
    <r>
      <rPr>
        <sz val="10"/>
        <color theme="1"/>
        <rFont val="Arial Unicode MS"/>
      </rPr>
      <t>I3</t>
    </r>
    <r>
      <rPr>
        <sz val="11"/>
        <color theme="1"/>
        <rFont val="Calibri"/>
        <family val="2"/>
        <scheme val="minor"/>
      </rPr>
      <t xml:space="preserve"> exibirá uma mensagem de alerta.</t>
    </r>
  </si>
  <si>
    <r>
      <t xml:space="preserve">A célula </t>
    </r>
    <r>
      <rPr>
        <sz val="10"/>
        <color theme="1"/>
        <rFont val="Arial Unicode MS"/>
      </rPr>
      <t>I2</t>
    </r>
    <r>
      <rPr>
        <sz val="11"/>
        <color theme="1"/>
        <rFont val="Calibri"/>
        <family val="2"/>
        <scheme val="minor"/>
      </rPr>
      <t xml:space="preserve"> será destacada com o fundo </t>
    </r>
    <r>
      <rPr>
        <b/>
        <sz val="11"/>
        <color theme="1"/>
        <rFont val="Calibri"/>
        <family val="2"/>
        <scheme val="minor"/>
      </rPr>
      <t>vermelho</t>
    </r>
    <r>
      <rPr>
        <sz val="11"/>
        <color theme="1"/>
        <rFont val="Calibri"/>
        <family val="2"/>
        <scheme val="minor"/>
      </rPr>
      <t>, indicando que existem campos obrigatórios não preenchidos ou inválidos.</t>
    </r>
  </si>
  <si>
    <r>
      <t xml:space="preserve">Neste caso, revise os campos destacados e </t>
    </r>
    <r>
      <rPr>
        <b/>
        <sz val="11"/>
        <color theme="1"/>
        <rFont val="Calibri"/>
        <family val="2"/>
        <scheme val="minor"/>
      </rPr>
      <t>ajuste conforme necessário</t>
    </r>
    <r>
      <rPr>
        <sz val="11"/>
        <color theme="1"/>
        <rFont val="Calibri"/>
        <family val="2"/>
        <scheme val="minor"/>
      </rPr>
      <t xml:space="preserve"> para que a validação seja concluída com sucesso.</t>
    </r>
  </si>
  <si>
    <t>Número Proposta</t>
  </si>
  <si>
    <t>Telefone
Whatsapp</t>
  </si>
  <si>
    <t>Limpar dados</t>
  </si>
  <si>
    <t/>
  </si>
  <si>
    <t>VALOR TOTAL COM IMPOSTOS</t>
  </si>
  <si>
    <t>% Redução Base ICMS</t>
  </si>
  <si>
    <t>tipo</t>
  </si>
  <si>
    <t>0 – Nacional, exceto as indicadas nos códigos 3, 4, 5 e 8;</t>
  </si>
  <si>
    <t>1 – Estrangeira, importação direta, exceto a indicada no código 6;</t>
  </si>
  <si>
    <t>2 – Estrangeira, adquirida no mercado interno, exceto a indicada no código 7;</t>
  </si>
  <si>
    <t>3 – Nacional: mercadoria ou bem com conteúdo de importação superior a 40% e inferior ou igual a 70%;</t>
  </si>
  <si>
    <t>4 – Nacional, cuja produção tenha sido feita em conformidade com os processos produtivos básicos de que tratam o Decreto-Lei nº 288/1967, e as Leis nº 8.248/1991, 8.387/1991, 10.176/2001 e 11.484/2007;</t>
  </si>
  <si>
    <t>5 – Nacional: mercadoria ou bem com Conteúdo de Importação inferior ou igual a 40%;</t>
  </si>
  <si>
    <t>6 – Estrangeira: importação direta, sem similar nacional, constante em lista de Resolução Camex e gás natural;</t>
  </si>
  <si>
    <t>7 – Estrangeira: adquirida no mercado interno, sem similar nacional, constante em lista de Resolução Camex e gás natural;</t>
  </si>
  <si>
    <t>8 – Nacional: mercadoria ou bem com Conteúdo de Importação superior a 70%;</t>
  </si>
  <si>
    <t>PREENCHIMENTO PARA FONECEDORES DE MERCADORIA</t>
  </si>
  <si>
    <t>CATEGORIA</t>
  </si>
  <si>
    <t>COD CEST</t>
  </si>
  <si>
    <t>Base ICMS</t>
  </si>
  <si>
    <t>Supplier</t>
  </si>
  <si>
    <t>Country</t>
  </si>
  <si>
    <t>Name 1</t>
  </si>
  <si>
    <t>Name 2</t>
  </si>
  <si>
    <t>Name 3</t>
  </si>
  <si>
    <t>Name 4</t>
  </si>
  <si>
    <t>City</t>
  </si>
  <si>
    <t>District</t>
  </si>
  <si>
    <t>PO Box</t>
  </si>
  <si>
    <t>P.O. Box Postal Code</t>
  </si>
  <si>
    <t>Postal Code</t>
  </si>
  <si>
    <t>Region</t>
  </si>
  <si>
    <t>Search term</t>
  </si>
  <si>
    <t>Street</t>
  </si>
  <si>
    <t>Address</t>
  </si>
  <si>
    <t>Title</t>
  </si>
  <si>
    <t>Train station</t>
  </si>
  <si>
    <t>Int. location no. 1</t>
  </si>
  <si>
    <t>Int. location no. 2</t>
  </si>
  <si>
    <t>Authorization Group</t>
  </si>
  <si>
    <t>Industry</t>
  </si>
  <si>
    <t>Check digit</t>
  </si>
  <si>
    <t>Data line</t>
  </si>
  <si>
    <t>DME Recipient Code</t>
  </si>
  <si>
    <t>Instruction Key</t>
  </si>
  <si>
    <t>Created on</t>
  </si>
  <si>
    <t>Created by</t>
  </si>
  <si>
    <t>PBC/ISR Number</t>
  </si>
  <si>
    <t>Corporate Group</t>
  </si>
  <si>
    <t>Account Group</t>
  </si>
  <si>
    <t>Customer</t>
  </si>
  <si>
    <t>Alternative payee</t>
  </si>
  <si>
    <t>Central Deletion Flag</t>
  </si>
  <si>
    <t>Central posting block</t>
  </si>
  <si>
    <t>Central purchasing block</t>
  </si>
  <si>
    <t>Language Key</t>
  </si>
  <si>
    <t>Tax Number 1</t>
  </si>
  <si>
    <t>Tax Number 2</t>
  </si>
  <si>
    <t>Sales equalizatn tax</t>
  </si>
  <si>
    <t>Liable for VAT</t>
  </si>
  <si>
    <t>Telebox Number</t>
  </si>
  <si>
    <t>Telephone 1</t>
  </si>
  <si>
    <t>Telephone 2</t>
  </si>
  <si>
    <t>Fax Number</t>
  </si>
  <si>
    <t>Teletex Number</t>
  </si>
  <si>
    <t>Telex Number</t>
  </si>
  <si>
    <t>One-time account</t>
  </si>
  <si>
    <t>Payee in document</t>
  </si>
  <si>
    <t>Trading partner</t>
  </si>
  <si>
    <t>Fiscal address</t>
  </si>
  <si>
    <t>VAT Registration No.</t>
  </si>
  <si>
    <t>Natural Person</t>
  </si>
  <si>
    <t>Block function</t>
  </si>
  <si>
    <t>Place of birth</t>
  </si>
  <si>
    <t>Date of birth</t>
  </si>
  <si>
    <t>Sex</t>
  </si>
  <si>
    <t>Credit information number</t>
  </si>
  <si>
    <t>Last ext.review</t>
  </si>
  <si>
    <t>Actual QM system</t>
  </si>
  <si>
    <t>Reference acct group</t>
  </si>
  <si>
    <t>P.O. Box city</t>
  </si>
  <si>
    <t>Plant</t>
  </si>
  <si>
    <t>Vendor sub-range relevant</t>
  </si>
  <si>
    <t>Plant level relevant</t>
  </si>
  <si>
    <t>Factory calendar</t>
  </si>
  <si>
    <t>Status of Data Transfer to Next Release</t>
  </si>
  <si>
    <t>Tax Jurisdiction</t>
  </si>
  <si>
    <t>Payment block</t>
  </si>
  <si>
    <t>SCAC</t>
  </si>
  <si>
    <t>Carrier freight grp</t>
  </si>
  <si>
    <t>Transportation zone</t>
  </si>
  <si>
    <t>Accts for alt. payee</t>
  </si>
  <si>
    <t>ServAgntProcGrp</t>
  </si>
  <si>
    <t>Tax Type</t>
  </si>
  <si>
    <t>Tax number type</t>
  </si>
  <si>
    <t>Social Insurance</t>
  </si>
  <si>
    <t>Social Ins. Code</t>
  </si>
  <si>
    <t>Tax Number 3</t>
  </si>
  <si>
    <t>Tax Number 4</t>
  </si>
  <si>
    <t>Tax Number 5</t>
  </si>
  <si>
    <t>Tax Number 6</t>
  </si>
  <si>
    <t>Tax split</t>
  </si>
  <si>
    <t>Tax base</t>
  </si>
  <si>
    <t>Profession</t>
  </si>
  <si>
    <t>Stat. grp, service agent</t>
  </si>
  <si>
    <t>Ext. manufacturer</t>
  </si>
  <si>
    <t>URL</t>
  </si>
  <si>
    <t>Name of Representative</t>
  </si>
  <si>
    <t>Type of Business</t>
  </si>
  <si>
    <t>Type of Industry</t>
  </si>
  <si>
    <t>Confirmation status</t>
  </si>
  <si>
    <t>Confirmation date</t>
  </si>
  <si>
    <t>Confirmation time</t>
  </si>
  <si>
    <t>Central del.block</t>
  </si>
  <si>
    <t>QM system valid to</t>
  </si>
  <si>
    <t>Relevant for POD</t>
  </si>
  <si>
    <t>Tax office responsible</t>
  </si>
  <si>
    <t>Tax Number at Responsible Tax Authority</t>
  </si>
  <si>
    <t>Carrier confirmation expected</t>
  </si>
  <si>
    <t>Micro Company</t>
  </si>
  <si>
    <t>Terms of Liability</t>
  </si>
  <si>
    <t>CRC number</t>
  </si>
  <si>
    <t>Business Purpose Completed Flag</t>
  </si>
  <si>
    <t>RG Number</t>
  </si>
  <si>
    <t>Issued by</t>
  </si>
  <si>
    <t>State</t>
  </si>
  <si>
    <t>RG Issuing Date</t>
  </si>
  <si>
    <t>RIC Number</t>
  </si>
  <si>
    <t>Foreign National Registration</t>
  </si>
  <si>
    <t>RNE Issuing Date</t>
  </si>
  <si>
    <t>CNAE</t>
  </si>
  <si>
    <t>Legal Nature</t>
  </si>
  <si>
    <t>CRT Number</t>
  </si>
  <si>
    <t>ICMS Taxpayer</t>
  </si>
  <si>
    <t>Industry Main Type</t>
  </si>
  <si>
    <t>Tax Declaration Type</t>
  </si>
  <si>
    <t>Company Size</t>
  </si>
  <si>
    <t>Declaration Regimen for PIS/COFINS</t>
  </si>
  <si>
    <t>Capital Amount</t>
  </si>
  <si>
    <t>Currency</t>
  </si>
  <si>
    <t>Agency Location Code</t>
  </si>
  <si>
    <t>Payment Office</t>
  </si>
  <si>
    <t>Processor group</t>
  </si>
  <si>
    <t>SLAPrepr.Proced</t>
  </si>
  <si>
    <t>First Name</t>
  </si>
  <si>
    <t>House number</t>
  </si>
  <si>
    <t>Transportation Chain</t>
  </si>
  <si>
    <t>Staging Time</t>
  </si>
  <si>
    <t>Scheduling Procedure</t>
  </si>
  <si>
    <t>CD: Relevant for Collective Numbering</t>
  </si>
  <si>
    <t>BR1091</t>
  </si>
  <si>
    <t>BR</t>
  </si>
  <si>
    <t>Electrolux do Brasil S.A</t>
  </si>
  <si>
    <t>Parana</t>
  </si>
  <si>
    <t>81520-900</t>
  </si>
  <si>
    <t>BRR</t>
  </si>
  <si>
    <t>Rua Ministro Gabriel Passos 360</t>
  </si>
  <si>
    <t>9708894</t>
  </si>
  <si>
    <t>ELECTROLUX DO BRASIL S.A</t>
  </si>
  <si>
    <t>CURITIBA</t>
  </si>
  <si>
    <t>0</t>
  </si>
  <si>
    <t>14</t>
  </si>
  <si>
    <t>SILLAWEI</t>
  </si>
  <si>
    <t>207</t>
  </si>
  <si>
    <t>ZINT</t>
  </si>
  <si>
    <t>EN</t>
  </si>
  <si>
    <t>76487032000125</t>
  </si>
  <si>
    <t>413717411</t>
  </si>
  <si>
    <t>04133717000</t>
  </si>
  <si>
    <t>0412969828</t>
  </si>
  <si>
    <t>X</t>
  </si>
  <si>
    <t>PR 4106902</t>
  </si>
  <si>
    <t>1010722906</t>
  </si>
  <si>
    <t>BR1248</t>
  </si>
  <si>
    <t>Electrolux do Brasil S.A.</t>
  </si>
  <si>
    <t>Curitiba Plant</t>
  </si>
  <si>
    <t>Curitiba - Paraná</t>
  </si>
  <si>
    <t>BRC</t>
  </si>
  <si>
    <t>12820476</t>
  </si>
  <si>
    <t>ELECTROLUX DO BRASIL S.A.</t>
  </si>
  <si>
    <t>CURITIBA PLANT</t>
  </si>
  <si>
    <t>CURITIBA - PARANÁ</t>
  </si>
  <si>
    <t>BATCH_BASIS</t>
  </si>
  <si>
    <t>749</t>
  </si>
  <si>
    <t>044 3717293</t>
  </si>
  <si>
    <t>041 3717541</t>
  </si>
  <si>
    <t>BR1286</t>
  </si>
  <si>
    <t>Manufacturing Floor Care</t>
  </si>
  <si>
    <t>81310-000</t>
  </si>
  <si>
    <t>BRE</t>
  </si>
  <si>
    <t>Rua Senador Accioly Filho</t>
  </si>
  <si>
    <t>12820478</t>
  </si>
  <si>
    <t>MANUFACTURING FLOOR CARE</t>
  </si>
  <si>
    <t>118</t>
  </si>
  <si>
    <t>4135353951</t>
  </si>
  <si>
    <t>BR1337</t>
  </si>
  <si>
    <t>Electrolux da Amazonia Ltda.</t>
  </si>
  <si>
    <t>Distrito Industrial</t>
  </si>
  <si>
    <t>69075-130</t>
  </si>
  <si>
    <t>BRL</t>
  </si>
  <si>
    <t>Rua Jutaí 280</t>
  </si>
  <si>
    <t>9813056</t>
  </si>
  <si>
    <t>ELECTROLUX DA AMAZONIA LT</t>
  </si>
  <si>
    <t>MANAUS</t>
  </si>
  <si>
    <t>667</t>
  </si>
  <si>
    <t>02421684000120</t>
  </si>
  <si>
    <t>92 6151883</t>
  </si>
  <si>
    <t>AM 1302603</t>
  </si>
  <si>
    <t>062000918</t>
  </si>
  <si>
    <t>BR1340</t>
  </si>
  <si>
    <t>Loja Electrolux Comércio Virtual</t>
  </si>
  <si>
    <t>de Eletrodomésticos Ltda.</t>
  </si>
  <si>
    <t>CIDADE INDUSTRIAL</t>
  </si>
  <si>
    <t>81460-100</t>
  </si>
  <si>
    <t>BRK</t>
  </si>
  <si>
    <t>RUA JOAO LUNARDELLI 2205</t>
  </si>
  <si>
    <t>9812566</t>
  </si>
  <si>
    <t>LOJA ELECTROLUX COMÉRCIO</t>
  </si>
  <si>
    <t>DE ELETRODOMÉSTICOS LTDA.</t>
  </si>
  <si>
    <t>200</t>
  </si>
  <si>
    <t>13986197000121</t>
  </si>
  <si>
    <t>41 33716006</t>
  </si>
  <si>
    <t>9069938644</t>
  </si>
  <si>
    <t>BR1396</t>
  </si>
  <si>
    <t>Electrolux Professional Brazil</t>
  </si>
  <si>
    <t>04719-904</t>
  </si>
  <si>
    <t>DELETED</t>
  </si>
  <si>
    <t>Rua Verbo Divino 1488</t>
  </si>
  <si>
    <t>13100426</t>
  </si>
  <si>
    <t>ELECTROLUX PROFESSIONAL B</t>
  </si>
  <si>
    <t>SÃO PAULO</t>
  </si>
  <si>
    <t>903</t>
  </si>
  <si>
    <t>BR14</t>
  </si>
  <si>
    <t>SP 3550308</t>
  </si>
  <si>
    <t>PBR01</t>
  </si>
  <si>
    <t>ELECTROLUX DO BRASIL S/A</t>
  </si>
  <si>
    <t>SAO PAULO</t>
  </si>
  <si>
    <t>VILA CORDEIRO</t>
  </si>
  <si>
    <t>04583-110</t>
  </si>
  <si>
    <t>ELECTROLUX</t>
  </si>
  <si>
    <t>AV DR CHUCRI ZAIDAN 296</t>
  </si>
  <si>
    <t>9657057</t>
  </si>
  <si>
    <t>Z003</t>
  </si>
  <si>
    <t>TEMWITHA</t>
  </si>
  <si>
    <t>ZPLT</t>
  </si>
  <si>
    <t>PT</t>
  </si>
  <si>
    <t>76487032002764</t>
  </si>
  <si>
    <t>9232379153</t>
  </si>
  <si>
    <t>BR01</t>
  </si>
  <si>
    <t>115364714116</t>
  </si>
  <si>
    <t>PBR02</t>
  </si>
  <si>
    <t>ADM Ctba</t>
  </si>
  <si>
    <t>ADM CTBA</t>
  </si>
  <si>
    <t>Rua Ministro Gabriel Passos 175</t>
  </si>
  <si>
    <t>9708899</t>
  </si>
  <si>
    <t>76487032000559</t>
  </si>
  <si>
    <t>BR02</t>
  </si>
  <si>
    <t>PBR03</t>
  </si>
  <si>
    <t>Casa Electrolux</t>
  </si>
  <si>
    <t>Jd. América</t>
  </si>
  <si>
    <t>01438-000</t>
  </si>
  <si>
    <t>CASA ELECT</t>
  </si>
  <si>
    <t>Rua Colômbia 157</t>
  </si>
  <si>
    <t>9708895</t>
  </si>
  <si>
    <t>CASA ELECTROLUX</t>
  </si>
  <si>
    <t>76487032004627</t>
  </si>
  <si>
    <t>BR03</t>
  </si>
  <si>
    <t>PBR04</t>
  </si>
  <si>
    <t>Importação ES</t>
  </si>
  <si>
    <t>Serra</t>
  </si>
  <si>
    <t>Carapina</t>
  </si>
  <si>
    <t>29160-970</t>
  </si>
  <si>
    <t>ES</t>
  </si>
  <si>
    <t>IMPORTAÇÃO</t>
  </si>
  <si>
    <t>Rodovia BR 101 KM 271 s/n</t>
  </si>
  <si>
    <t>9708896</t>
  </si>
  <si>
    <t>IMPORTAÇÃO ES</t>
  </si>
  <si>
    <t>SERRA</t>
  </si>
  <si>
    <t>76487032003493</t>
  </si>
  <si>
    <t>BR04</t>
  </si>
  <si>
    <t>ES 3205002</t>
  </si>
  <si>
    <t>PBR05</t>
  </si>
  <si>
    <t>CD Nordeste</t>
  </si>
  <si>
    <t>Jaboatão dos Guararapes</t>
  </si>
  <si>
    <t>Prazeres</t>
  </si>
  <si>
    <t>54335-025</t>
  </si>
  <si>
    <t>PE</t>
  </si>
  <si>
    <t>CD NORDEST</t>
  </si>
  <si>
    <t>Rua Riachão 807</t>
  </si>
  <si>
    <t>9708897</t>
  </si>
  <si>
    <t>CD NORDESTE</t>
  </si>
  <si>
    <t>JABOATÃO DOS GUARARAPES</t>
  </si>
  <si>
    <t>76487032004708</t>
  </si>
  <si>
    <t>BR05</t>
  </si>
  <si>
    <t>PE 2607901</t>
  </si>
  <si>
    <t>PBR06</t>
  </si>
  <si>
    <t>Lapa</t>
  </si>
  <si>
    <t>Centro</t>
  </si>
  <si>
    <t>83750-000</t>
  </si>
  <si>
    <t>LAPA</t>
  </si>
  <si>
    <t>Rua Barão do Rio Branco 2184</t>
  </si>
  <si>
    <t>9708898</t>
  </si>
  <si>
    <t>76487032004970</t>
  </si>
  <si>
    <t>BR06</t>
  </si>
  <si>
    <t>PR 4113205</t>
  </si>
  <si>
    <t>9067088090</t>
  </si>
  <si>
    <t>PBR21</t>
  </si>
  <si>
    <t>GUABIROTUB</t>
  </si>
  <si>
    <t>9708900</t>
  </si>
  <si>
    <t>GUABIROTUBA</t>
  </si>
  <si>
    <t>BR21</t>
  </si>
  <si>
    <t>PBR21ZNBB</t>
  </si>
  <si>
    <t>14720668</t>
  </si>
  <si>
    <t>0000-000000</t>
  </si>
  <si>
    <t>PBR22</t>
  </si>
  <si>
    <t>Warehouse JL</t>
  </si>
  <si>
    <t>WAREHOUSE</t>
  </si>
  <si>
    <t>R JOAO LUNARDELLI 2205</t>
  </si>
  <si>
    <t>9708901</t>
  </si>
  <si>
    <t>WAREHOUSE JL</t>
  </si>
  <si>
    <t>76487032004031</t>
  </si>
  <si>
    <t>BR22</t>
  </si>
  <si>
    <t>9040482080</t>
  </si>
  <si>
    <t>PBR23</t>
  </si>
  <si>
    <t>HP</t>
  </si>
  <si>
    <t>81460-110</t>
  </si>
  <si>
    <t>R ROBERTO OZORIO DE ALMEIDA 1010</t>
  </si>
  <si>
    <t>9708902</t>
  </si>
  <si>
    <t>76487032004201</t>
  </si>
  <si>
    <t>BR23</t>
  </si>
  <si>
    <t>9050549531</t>
  </si>
  <si>
    <t>PBR24</t>
  </si>
  <si>
    <t>SAO JOSE DOS PINHAIS</t>
  </si>
  <si>
    <t>AGARAU</t>
  </si>
  <si>
    <t>83149-899</t>
  </si>
  <si>
    <t>SJP</t>
  </si>
  <si>
    <t>RUA DURVAL MOLETTA 2160</t>
  </si>
  <si>
    <t>9708903</t>
  </si>
  <si>
    <t>76487032003574</t>
  </si>
  <si>
    <t>BR24</t>
  </si>
  <si>
    <t>PR 4125506</t>
  </si>
  <si>
    <t>9099769367</t>
  </si>
  <si>
    <t>PBR25</t>
  </si>
  <si>
    <t>GFD</t>
  </si>
  <si>
    <t>ROSEIRA DE SAO SEBASTIAO</t>
  </si>
  <si>
    <t>83070-245</t>
  </si>
  <si>
    <t>REENGENHAR</t>
  </si>
  <si>
    <t>R VANDERLEI MORENO 10800</t>
  </si>
  <si>
    <t>13090755</t>
  </si>
  <si>
    <t>76487032006247</t>
  </si>
  <si>
    <t>BR25</t>
  </si>
  <si>
    <t>9076983000</t>
  </si>
  <si>
    <t>PBR31</t>
  </si>
  <si>
    <t>Botafogo</t>
  </si>
  <si>
    <t>13574-380</t>
  </si>
  <si>
    <t>SÃO CARLOS</t>
  </si>
  <si>
    <t>Av. José Pereira Lopes 250</t>
  </si>
  <si>
    <t>9710597</t>
  </si>
  <si>
    <t>0000000</t>
  </si>
  <si>
    <t>BR31</t>
  </si>
  <si>
    <t>SP 3548906</t>
  </si>
  <si>
    <t>637018432111</t>
  </si>
  <si>
    <t>PBR31ZNBB</t>
  </si>
  <si>
    <t>14719711</t>
  </si>
  <si>
    <t>PBR32</t>
  </si>
  <si>
    <t>AGUA VERMELHA</t>
  </si>
  <si>
    <t>SAO CARLOS</t>
  </si>
  <si>
    <t>13578-000</t>
  </si>
  <si>
    <t>AGUA VERME</t>
  </si>
  <si>
    <t>RODOVIA SP 318 KM 45 SN</t>
  </si>
  <si>
    <t>9710590</t>
  </si>
  <si>
    <t>BR32</t>
  </si>
  <si>
    <t>637314973110</t>
  </si>
  <si>
    <t>PBR33</t>
  </si>
  <si>
    <t>13570-820</t>
  </si>
  <si>
    <t>VILA IZABE</t>
  </si>
  <si>
    <t>Rua Coronel José Augusto de Oli 476</t>
  </si>
  <si>
    <t>9710596</t>
  </si>
  <si>
    <t>VILA IZABEL</t>
  </si>
  <si>
    <t>BR33</t>
  </si>
  <si>
    <t>637047140118</t>
  </si>
  <si>
    <t>PBR34</t>
  </si>
  <si>
    <t>SFB São Carlos</t>
  </si>
  <si>
    <t>13574-900</t>
  </si>
  <si>
    <t>SFB SÃO CA</t>
  </si>
  <si>
    <t>Av. José Pereira Lopes 800</t>
  </si>
  <si>
    <t>9710594</t>
  </si>
  <si>
    <t>SFB SÃO CARLOS</t>
  </si>
  <si>
    <t>BR34</t>
  </si>
  <si>
    <t>637325380114</t>
  </si>
  <si>
    <t>PBR41</t>
  </si>
  <si>
    <t>CIC Small Appliance</t>
  </si>
  <si>
    <t>CIC SMALL</t>
  </si>
  <si>
    <t>Rua Senador Accioly Filho 1321</t>
  </si>
  <si>
    <t>9710591</t>
  </si>
  <si>
    <t>CIC SMALL APPLIANCE</t>
  </si>
  <si>
    <t>76487032002179</t>
  </si>
  <si>
    <t>BR41</t>
  </si>
  <si>
    <t>1013317255</t>
  </si>
  <si>
    <t>PBR41ZNBB</t>
  </si>
  <si>
    <t>14833980</t>
  </si>
  <si>
    <t>PBR42</t>
  </si>
  <si>
    <t>CAMPO DE SANTANA</t>
  </si>
  <si>
    <t>81945-010</t>
  </si>
  <si>
    <t>RUA VEREADOR ANGELO BURBELLO 555</t>
  </si>
  <si>
    <t>9710595</t>
  </si>
  <si>
    <t>76487032003906</t>
  </si>
  <si>
    <t>BR42</t>
  </si>
  <si>
    <t>9039741250</t>
  </si>
  <si>
    <t>PBR57</t>
  </si>
  <si>
    <t>Electrolux da Amazônia Ltda</t>
  </si>
  <si>
    <t>Água Vermelha</t>
  </si>
  <si>
    <t>Rodovia SP 318 KM 245 s/n</t>
  </si>
  <si>
    <t>9710592</t>
  </si>
  <si>
    <t>ELECTROLUX DA AMAZÔNIA LT</t>
  </si>
  <si>
    <t>02421684000392</t>
  </si>
  <si>
    <t>BR57</t>
  </si>
  <si>
    <t>637269737115</t>
  </si>
  <si>
    <t>PBR61</t>
  </si>
  <si>
    <t>DSJ</t>
  </si>
  <si>
    <t>Roseira</t>
  </si>
  <si>
    <t>Rua Vanderlei Moreno 10800</t>
  </si>
  <si>
    <t>9710589</t>
  </si>
  <si>
    <t>SÃO JOSÉ DOS PINHAIS</t>
  </si>
  <si>
    <t>76487032001954</t>
  </si>
  <si>
    <t>4198733938755</t>
  </si>
  <si>
    <t>BR61</t>
  </si>
  <si>
    <t>1000764970</t>
  </si>
  <si>
    <t>PBR61ZNBB</t>
  </si>
  <si>
    <t>14720669</t>
  </si>
  <si>
    <t>41987339387 - 55</t>
  </si>
  <si>
    <t>PBR62</t>
  </si>
  <si>
    <t>TOP SP</t>
  </si>
  <si>
    <t>Vila Mariana</t>
  </si>
  <si>
    <t>04115-090</t>
  </si>
  <si>
    <t>Rua Professor Serafim Orlan 146/148</t>
  </si>
  <si>
    <t>9710593</t>
  </si>
  <si>
    <t>76487032002683</t>
  </si>
  <si>
    <t>BR62</t>
  </si>
  <si>
    <t>115935679110</t>
  </si>
  <si>
    <t>PBR63</t>
  </si>
  <si>
    <t>TOP RJ</t>
  </si>
  <si>
    <t>RIO DE JANEIRO</t>
  </si>
  <si>
    <t>JACAREPAGUA</t>
  </si>
  <si>
    <t>22775-004</t>
  </si>
  <si>
    <t>AV AYRTON SENNA 4701</t>
  </si>
  <si>
    <t>9710588</t>
  </si>
  <si>
    <t>76487032003302</t>
  </si>
  <si>
    <t>BR63</t>
  </si>
  <si>
    <t>RJ 3304557</t>
  </si>
  <si>
    <t>77591729</t>
  </si>
  <si>
    <t>PBR64</t>
  </si>
  <si>
    <t>TOP ADM</t>
  </si>
  <si>
    <t>SAO GERALDO</t>
  </si>
  <si>
    <t>69053-355</t>
  </si>
  <si>
    <t>AV DJALMA BATISTA 1071</t>
  </si>
  <si>
    <t>9710587</t>
  </si>
  <si>
    <t>Z013</t>
  </si>
  <si>
    <t>76487032004546</t>
  </si>
  <si>
    <t>BR64</t>
  </si>
  <si>
    <t>ZF 1302603</t>
  </si>
  <si>
    <t>042305179</t>
  </si>
  <si>
    <t>PBR65</t>
  </si>
  <si>
    <t>TOP BA</t>
  </si>
  <si>
    <t>Stiep</t>
  </si>
  <si>
    <t>41770-395</t>
  </si>
  <si>
    <t>Rua Edistio Ponde 200</t>
  </si>
  <si>
    <t>9708905</t>
  </si>
  <si>
    <t>SALVADOR</t>
  </si>
  <si>
    <t>76487032005003</t>
  </si>
  <si>
    <t>BR65</t>
  </si>
  <si>
    <t>BA 2927408</t>
  </si>
  <si>
    <t>127624026</t>
  </si>
  <si>
    <t>PBR67</t>
  </si>
  <si>
    <t>ALHANDRA</t>
  </si>
  <si>
    <t>DISTRITO INDUSTRIAL</t>
  </si>
  <si>
    <t>58320-000</t>
  </si>
  <si>
    <t>CD PARAIBA</t>
  </si>
  <si>
    <t>R MANOEL CESAR DE MELO BR101 108</t>
  </si>
  <si>
    <t>14716546</t>
  </si>
  <si>
    <t>76487032006832</t>
  </si>
  <si>
    <t>4133717982</t>
  </si>
  <si>
    <t>PB 2500601</t>
  </si>
  <si>
    <t>164712666</t>
  </si>
  <si>
    <t>PBR71</t>
  </si>
  <si>
    <t>LOJA ELECTROLUX COMERCIO VIRTUAL DE</t>
  </si>
  <si>
    <t>E-COMMERCE</t>
  </si>
  <si>
    <t>LOJA ELECT</t>
  </si>
  <si>
    <t>9802180</t>
  </si>
  <si>
    <t>LOJA ELECTROLUX COMERCIO</t>
  </si>
  <si>
    <t>BR71</t>
  </si>
  <si>
    <t>PBR72</t>
  </si>
  <si>
    <t>ELETRODOMESTICOS LTDA</t>
  </si>
  <si>
    <t>ECOM WH</t>
  </si>
  <si>
    <t>ROD ENG THALES DE LORENA PEIXOTO SN</t>
  </si>
  <si>
    <t>11618005</t>
  </si>
  <si>
    <t>BR72</t>
  </si>
  <si>
    <t>637453069119</t>
  </si>
  <si>
    <t>PBR73</t>
  </si>
  <si>
    <t>LOJA ELECTROLUX COMERCIO VIRTUAL</t>
  </si>
  <si>
    <t>DE ELETRODOMESTICOS LTDA</t>
  </si>
  <si>
    <t>14258061</t>
  </si>
  <si>
    <t>13986197000555</t>
  </si>
  <si>
    <t>9095210250</t>
  </si>
  <si>
    <t>PBR74</t>
  </si>
  <si>
    <t>R MANOEL CESAR DE MELO SN</t>
  </si>
  <si>
    <t>14229305</t>
  </si>
  <si>
    <t>13986197000393</t>
  </si>
  <si>
    <t>164349510</t>
  </si>
  <si>
    <t>PBR81</t>
  </si>
  <si>
    <t>ELECTROLUX DO BRASIL SA</t>
  </si>
  <si>
    <t>JUTAI</t>
  </si>
  <si>
    <t>DISTRITO INDUSTRIAL I</t>
  </si>
  <si>
    <t>JUTAÍ AIR</t>
  </si>
  <si>
    <t>R JUTAI 275</t>
  </si>
  <si>
    <t>9802179</t>
  </si>
  <si>
    <t>76487032005437</t>
  </si>
  <si>
    <t>BR81</t>
  </si>
  <si>
    <t>PBR82</t>
  </si>
  <si>
    <t>TUCUMA</t>
  </si>
  <si>
    <t>DISTRITO INDUSTRIAL I I</t>
  </si>
  <si>
    <t>69075-843</t>
  </si>
  <si>
    <t>NATAL AIR</t>
  </si>
  <si>
    <t>R FLAMBOYANT 1403</t>
  </si>
  <si>
    <t>9708906</t>
  </si>
  <si>
    <t>76487032005941</t>
  </si>
  <si>
    <t>BR82</t>
  </si>
  <si>
    <t>080000738</t>
  </si>
  <si>
    <t>PBR83</t>
  </si>
  <si>
    <t>TC WAREHOUSE</t>
  </si>
  <si>
    <t>69075-842</t>
  </si>
  <si>
    <t>MP NATAL</t>
  </si>
  <si>
    <t>AV DOS OITIS 1720</t>
  </si>
  <si>
    <t>9708904</t>
  </si>
  <si>
    <t>76487032005607</t>
  </si>
  <si>
    <t>BR83</t>
  </si>
  <si>
    <t>080001815</t>
  </si>
  <si>
    <t>PBR84</t>
  </si>
  <si>
    <t>FL WAREHOUSE</t>
  </si>
  <si>
    <t>69075-210</t>
  </si>
  <si>
    <t>TUCUMA MIC</t>
  </si>
  <si>
    <t>R TAMBAQUI 190</t>
  </si>
  <si>
    <t>9710598</t>
  </si>
  <si>
    <t>76487032005518</t>
  </si>
  <si>
    <t>BR84</t>
  </si>
  <si>
    <t>062000900</t>
  </si>
  <si>
    <t>PBR85</t>
  </si>
  <si>
    <t>RUA TAMBAQUI 190</t>
  </si>
  <si>
    <t>13393253</t>
  </si>
  <si>
    <t>76487032005780</t>
  </si>
  <si>
    <t>92 32379153</t>
  </si>
  <si>
    <t>BR85</t>
  </si>
  <si>
    <t>080000495</t>
  </si>
  <si>
    <t>PBR91</t>
  </si>
  <si>
    <t>OUTLET 1</t>
  </si>
  <si>
    <t>SEMINARIO</t>
  </si>
  <si>
    <t>80740-000</t>
  </si>
  <si>
    <t>OUTLET</t>
  </si>
  <si>
    <t>R GENERAL MARIO TOURINHO 2350</t>
  </si>
  <si>
    <t>9710599</t>
  </si>
  <si>
    <t>76487032005275</t>
  </si>
  <si>
    <t>BR91</t>
  </si>
  <si>
    <t>9073348487</t>
  </si>
  <si>
    <t>PBR92</t>
  </si>
  <si>
    <t>OUTLET 2</t>
  </si>
  <si>
    <t>CAJURU</t>
  </si>
  <si>
    <t>82940-370</t>
  </si>
  <si>
    <t>R VICENTE DE CARVALHO 113</t>
  </si>
  <si>
    <t>9710600</t>
  </si>
  <si>
    <t>76487032005356</t>
  </si>
  <si>
    <t>BR92</t>
  </si>
  <si>
    <t>9074285594</t>
  </si>
  <si>
    <t>PBR93</t>
  </si>
  <si>
    <t>OUTLET 3</t>
  </si>
  <si>
    <t>PORTO BELO</t>
  </si>
  <si>
    <t>SANTA LUZIA</t>
  </si>
  <si>
    <t>88210-000</t>
  </si>
  <si>
    <t>ROD BR 101 ROD GOV MARIO COVAS SN</t>
  </si>
  <si>
    <t>11086358</t>
  </si>
  <si>
    <t>76487032006085</t>
  </si>
  <si>
    <t>4133716197</t>
  </si>
  <si>
    <t>BR93</t>
  </si>
  <si>
    <t>SC 4213500</t>
  </si>
  <si>
    <t>258512687</t>
  </si>
  <si>
    <t>PBR94</t>
  </si>
  <si>
    <t>OUTLET 4</t>
  </si>
  <si>
    <t>FLORIANOPOLIS</t>
  </si>
  <si>
    <t>SACO GRANDE</t>
  </si>
  <si>
    <t>88032-005</t>
  </si>
  <si>
    <t>ROD JOSE CARLOS DAUX SC 401 4850</t>
  </si>
  <si>
    <t>11086356</t>
  </si>
  <si>
    <t>76487032006166</t>
  </si>
  <si>
    <t>41 33716197</t>
  </si>
  <si>
    <t>BR94</t>
  </si>
  <si>
    <t>SC 4205407</t>
  </si>
  <si>
    <t>258533579</t>
  </si>
  <si>
    <t>PBR95</t>
  </si>
  <si>
    <t>BELO HORIZONTE</t>
  </si>
  <si>
    <t>DOM JOAQUIM</t>
  </si>
  <si>
    <t>31170-678</t>
  </si>
  <si>
    <t>OUTLET 5</t>
  </si>
  <si>
    <t>AV PASTOR ANSELMO SILVESTRE 1495</t>
  </si>
  <si>
    <t>13150472</t>
  </si>
  <si>
    <t>76487032006328</t>
  </si>
  <si>
    <t>BR95</t>
  </si>
  <si>
    <t>MG 3106200</t>
  </si>
  <si>
    <t>0014087490742</t>
  </si>
  <si>
    <t>PBR96</t>
  </si>
  <si>
    <t>FEIRA DE SANTANA</t>
  </si>
  <si>
    <t>MANGABEIRA</t>
  </si>
  <si>
    <t>44056-232</t>
  </si>
  <si>
    <t>OUTLET 6</t>
  </si>
  <si>
    <t>AV FRANCISCO FRAGA MAIA 4680</t>
  </si>
  <si>
    <t>13150465</t>
  </si>
  <si>
    <t>76487032006409</t>
  </si>
  <si>
    <t>BR96</t>
  </si>
  <si>
    <t>BA 2910800</t>
  </si>
  <si>
    <t>154065162</t>
  </si>
  <si>
    <t>PBR97</t>
  </si>
  <si>
    <t>BRASILIA</t>
  </si>
  <si>
    <t>AREAL AGUAS CLARAS</t>
  </si>
  <si>
    <t>71955-000</t>
  </si>
  <si>
    <t>OUTLET 7</t>
  </si>
  <si>
    <t>Q QS 5 SN</t>
  </si>
  <si>
    <t>13150470</t>
  </si>
  <si>
    <t>76487032006590</t>
  </si>
  <si>
    <t>BR97</t>
  </si>
  <si>
    <t>DF 5300108</t>
  </si>
  <si>
    <t>0774835900272</t>
  </si>
  <si>
    <t>PBR98</t>
  </si>
  <si>
    <t>OUTLET 8</t>
  </si>
  <si>
    <t>CAMPO LARGO</t>
  </si>
  <si>
    <t>VILA ITAQUI</t>
  </si>
  <si>
    <t>83604-175</t>
  </si>
  <si>
    <t>ROD BR 277 PONTA GROSSA CURITIBA SN</t>
  </si>
  <si>
    <t>14397957</t>
  </si>
  <si>
    <t>76487032006751</t>
  </si>
  <si>
    <t>41 3361 7982</t>
  </si>
  <si>
    <t>BR98</t>
  </si>
  <si>
    <t>PR 4104204</t>
  </si>
  <si>
    <t>9097554681</t>
  </si>
  <si>
    <t>PBR99</t>
  </si>
  <si>
    <t>SAO ROQUE</t>
  </si>
  <si>
    <t>18132-852</t>
  </si>
  <si>
    <t>OUTLET 9</t>
  </si>
  <si>
    <t>R RAFAEL DIAS COSTA 140</t>
  </si>
  <si>
    <t>15001657</t>
  </si>
  <si>
    <t>76487032006913</t>
  </si>
  <si>
    <t>BR99</t>
  </si>
  <si>
    <t>SP 3550605</t>
  </si>
  <si>
    <t>653222918114</t>
  </si>
  <si>
    <t>76487032006670</t>
  </si>
  <si>
    <t>street</t>
  </si>
  <si>
    <t>cep</t>
  </si>
  <si>
    <t>R JOAO MARCHESINI, 139</t>
  </si>
  <si>
    <t>80215-432</t>
  </si>
  <si>
    <t>CNPJ FILIAL ELECTROLUX</t>
  </si>
  <si>
    <t>Dados Filial</t>
  </si>
  <si>
    <t>LAPA - MA</t>
  </si>
  <si>
    <t>Fábrica - São José dos Pinhais</t>
  </si>
  <si>
    <t>Armazém - Manaus</t>
  </si>
  <si>
    <t>CST ICMS</t>
  </si>
  <si>
    <t>Valor do Serviço</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</si>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</sst>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_(* #,##0.00_);_(* \(#,##0.00\);_(* &quot;-&quot;??_);_(@_)"/>
    <numFmt numFmtId="166" formatCode="_-* #,##0.000_-;\-* #,##0.000_-;_-* &quot;-&quot;???_-;_-@_-"/>
  </numFmts>
  <fonts count="39">
    <font>
      <sz val="11"/>
      <color theme="1"/>
      <name val="Calibri"/>
      <family val="2"/>
      <scheme val="minor"/>
    </font>
    <font>
      <sz val="11"/>
      <color theme="1"/>
      <name val="Calibri"/>
      <family val="2"/>
      <scheme val="minor"/>
    </font>
    <font>
      <sz val="11"/>
      <color rgb="FFFF0000"/>
      <name val="Calibri"/>
      <family val="2"/>
      <scheme val="minor"/>
    </font>
    <font>
      <b/>
      <sz val="10"/>
      <color theme="0"/>
      <name val="Calibri  "/>
    </font>
    <font>
      <sz val="10"/>
      <color theme="1"/>
      <name val="Calibri  "/>
    </font>
    <font>
      <sz val="11"/>
      <color theme="0" tint="-0.499984740745262"/>
      <name val="Calibri"/>
      <family val="2"/>
      <scheme val="minor"/>
    </font>
    <font>
      <b/>
      <sz val="12"/>
      <color theme="4" tint="-0.249977111117893"/>
      <name val="Calibri"/>
      <family val="2"/>
      <scheme val="minor"/>
    </font>
    <font>
      <b/>
      <sz val="11"/>
      <color rgb="FFFF0000"/>
      <name val="Calibri"/>
      <family val="2"/>
      <scheme val="minor"/>
    </font>
    <font>
      <b/>
      <sz val="11"/>
      <color theme="1"/>
      <name val="Calibri"/>
      <family val="2"/>
      <scheme val="minor"/>
    </font>
    <font>
      <sz val="11"/>
      <color theme="2" tint="-0.499984740745262"/>
      <name val="Calibri"/>
      <family val="2"/>
      <scheme val="minor"/>
    </font>
    <font>
      <b/>
      <sz val="11"/>
      <color theme="4" tint="-0.499984740745262"/>
      <name val="Calibri"/>
      <family val="2"/>
      <scheme val="minor"/>
    </font>
    <font>
      <sz val="10"/>
      <name val="Arial"/>
      <family val="2"/>
    </font>
    <font>
      <b/>
      <sz val="10"/>
      <name val="Arial"/>
      <family val="2"/>
    </font>
    <font>
      <b/>
      <sz val="10"/>
      <color theme="1"/>
      <name val="Calibri"/>
      <family val="2"/>
      <scheme val="minor"/>
    </font>
    <font>
      <sz val="11"/>
      <color rgb="FFFFFFFF"/>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2"/>
      <color rgb="FFFF0000"/>
      <name val="Calibri"/>
      <family val="2"/>
      <scheme val="minor"/>
    </font>
    <font>
      <b/>
      <sz val="16"/>
      <color rgb="FFFF0000"/>
      <name val="Calibri"/>
      <family val="2"/>
      <scheme val="minor"/>
    </font>
    <font>
      <b/>
      <sz val="14"/>
      <color rgb="FFFF0000"/>
      <name val="Calibri"/>
      <family val="2"/>
      <scheme val="minor"/>
    </font>
    <font>
      <b/>
      <sz val="10"/>
      <color rgb="FFFF0000"/>
      <name val="Calibri"/>
      <family val="2"/>
      <scheme val="minor"/>
    </font>
    <font>
      <b/>
      <sz val="12"/>
      <color rgb="FF5522E6"/>
      <name val="Calibri"/>
      <family val="2"/>
      <scheme val="minor"/>
    </font>
    <font>
      <b/>
      <sz val="10"/>
      <color rgb="FF5522E6"/>
      <name val="Calibri"/>
      <family val="2"/>
      <scheme val="minor"/>
    </font>
    <font>
      <sz val="10"/>
      <color rgb="FFFF0000"/>
      <name val="Calibri"/>
      <family val="2"/>
      <scheme val="minor"/>
    </font>
    <font>
      <sz val="10"/>
      <color rgb="FF5522E6"/>
      <name val="Calibri"/>
      <family val="2"/>
      <scheme val="minor"/>
    </font>
    <font>
      <sz val="12"/>
      <name val="Times New Roman"/>
      <family val="1"/>
    </font>
    <font>
      <sz val="9"/>
      <color theme="1"/>
      <name val="Calibri"/>
      <family val="2"/>
      <scheme val="minor"/>
    </font>
    <font>
      <sz val="9"/>
      <color rgb="FF000000"/>
      <name val="Calibri"/>
      <family val="2"/>
    </font>
    <font>
      <b/>
      <sz val="9"/>
      <color indexed="81"/>
      <name val="Segoe UI"/>
      <family val="2"/>
    </font>
    <font>
      <sz val="9"/>
      <color indexed="81"/>
      <name val="Segoe UI"/>
      <family val="2"/>
    </font>
    <font>
      <b/>
      <sz val="13.5"/>
      <color theme="1"/>
      <name val="Calibri"/>
      <family val="2"/>
      <scheme val="minor"/>
    </font>
    <font>
      <b/>
      <sz val="10"/>
      <color theme="1"/>
      <name val="Arial Unicode MS"/>
    </font>
    <font>
      <sz val="10"/>
      <color theme="1"/>
      <name val="Arial Unicode MS"/>
    </font>
    <font>
      <i/>
      <sz val="12"/>
      <color rgb="FF35415B"/>
      <name val="Lato"/>
      <family val="2"/>
    </font>
    <font>
      <sz val="11"/>
      <color rgb="FF9C0006"/>
      <name val="Calibri"/>
      <family val="2"/>
      <scheme val="minor"/>
    </font>
    <font>
      <sz val="11"/>
      <color theme="3" tint="-0.249977111117893"/>
      <name val="Calibri"/>
      <family val="2"/>
      <scheme val="minor"/>
    </font>
    <font>
      <u/>
      <sz val="11"/>
      <color theme="1"/>
      <name val="Calibri"/>
      <family val="2"/>
      <scheme val="minor"/>
    </font>
    <font>
      <sz val="11"/>
      <color rgb="FF006100"/>
      <name val="Calibri"/>
      <family val="2"/>
      <scheme val="minor"/>
    </font>
  </fonts>
  <fills count="20">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rgb="FFFFF8E5"/>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2"/>
        <bgColor indexed="64"/>
      </patternFill>
    </fill>
    <fill>
      <patternFill patternType="solid">
        <fgColor rgb="FFF7FCFF"/>
        <bgColor indexed="64"/>
      </patternFill>
    </fill>
    <fill>
      <patternFill patternType="solid">
        <fgColor rgb="FFFFFAEB"/>
        <bgColor indexed="64"/>
      </patternFill>
    </fill>
    <fill>
      <patternFill patternType="solid">
        <fgColor rgb="FFFFFF00"/>
        <bgColor indexed="64"/>
      </patternFill>
    </fill>
    <fill>
      <patternFill patternType="solid">
        <fgColor theme="4" tint="-0.499984740745262"/>
        <bgColor indexed="64"/>
      </patternFill>
    </fill>
    <fill>
      <patternFill patternType="solid">
        <fgColor rgb="FFFF0000"/>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C7CE"/>
      </patternFill>
    </fill>
    <fill>
      <patternFill patternType="solid">
        <fgColor rgb="FFC6EFCE"/>
      </patternFill>
    </fill>
    <fill>
      <patternFill patternType="solid">
        <fgColor rgb="FF23DD39"/>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style="thin">
        <color theme="0"/>
      </left>
      <right style="thin">
        <color theme="0"/>
      </right>
      <top style="thin">
        <color theme="0"/>
      </top>
      <bottom/>
      <diagonal/>
    </border>
    <border>
      <left style="thin">
        <color theme="8" tint="0.79998168889431442"/>
      </left>
      <right style="thin">
        <color theme="8" tint="0.79998168889431442"/>
      </right>
      <top style="thin">
        <color theme="0"/>
      </top>
      <bottom style="thin">
        <color theme="0"/>
      </bottom>
      <diagonal/>
    </border>
    <border>
      <left style="thin">
        <color theme="8" tint="0.79998168889431442"/>
      </left>
      <right style="thin">
        <color theme="8" tint="0.79998168889431442"/>
      </right>
      <top style="thin">
        <color theme="8" tint="0.79998168889431442"/>
      </top>
      <bottom style="thin">
        <color theme="0"/>
      </bottom>
      <diagonal/>
    </border>
    <border>
      <left style="thin">
        <color theme="8" tint="0.79998168889431442"/>
      </left>
      <right style="thin">
        <color theme="8" tint="0.79998168889431442"/>
      </right>
      <top style="thin">
        <color theme="0"/>
      </top>
      <bottom style="thin">
        <color theme="8" tint="0.79998168889431442"/>
      </bottom>
      <diagonal/>
    </border>
    <border>
      <left style="thin">
        <color theme="8" tint="0.79998168889431442"/>
      </left>
      <right style="thin">
        <color theme="8" tint="0.79998168889431442"/>
      </right>
      <top/>
      <bottom/>
      <diagonal/>
    </border>
    <border>
      <left style="thin">
        <color theme="8" tint="0.79998168889431442"/>
      </left>
      <right/>
      <top/>
      <bottom/>
      <diagonal/>
    </border>
    <border>
      <left style="thin">
        <color theme="8" tint="0.59999389629810485"/>
      </left>
      <right style="thin">
        <color theme="8" tint="0.59999389629810485"/>
      </right>
      <top style="thin">
        <color theme="8" tint="0.59999389629810485"/>
      </top>
      <bottom style="thin">
        <color theme="8" tint="0.59999389629810485"/>
      </bottom>
      <diagonal/>
    </border>
    <border>
      <left style="thin">
        <color theme="8" tint="0.79998168889431442"/>
      </left>
      <right/>
      <top style="thin">
        <color theme="8" tint="0.79998168889431442"/>
      </top>
      <bottom/>
      <diagonal/>
    </border>
    <border>
      <left/>
      <right/>
      <top style="thin">
        <color theme="8" tint="0.79998168889431442"/>
      </top>
      <bottom style="thin">
        <color theme="8" tint="0.79998168889431442"/>
      </bottom>
      <diagonal/>
    </border>
    <border>
      <left style="double">
        <color theme="8" tint="0.59999389629810485"/>
      </left>
      <right/>
      <top style="double">
        <color theme="8" tint="0.59999389629810485"/>
      </top>
      <bottom style="thin">
        <color theme="8" tint="0.79998168889431442"/>
      </bottom>
      <diagonal/>
    </border>
    <border>
      <left style="double">
        <color theme="8" tint="0.59999389629810485"/>
      </left>
      <right/>
      <top style="thin">
        <color theme="8" tint="0.79998168889431442"/>
      </top>
      <bottom style="thin">
        <color theme="8" tint="0.79998168889431442"/>
      </bottom>
      <diagonal/>
    </border>
    <border>
      <left style="double">
        <color theme="8" tint="0.59999389629810485"/>
      </left>
      <right style="thin">
        <color theme="8" tint="0.79998168889431442"/>
      </right>
      <top style="thin">
        <color theme="8" tint="0.79998168889431442"/>
      </top>
      <bottom style="thin">
        <color theme="8" tint="0.79998168889431442"/>
      </bottom>
      <diagonal/>
    </border>
    <border>
      <left style="thin">
        <color theme="8" tint="0.79998168889431442"/>
      </left>
      <right style="double">
        <color theme="8" tint="0.59999389629810485"/>
      </right>
      <top/>
      <bottom style="thin">
        <color theme="0"/>
      </bottom>
      <diagonal/>
    </border>
    <border>
      <left style="thin">
        <color theme="8" tint="0.79998168889431442"/>
      </left>
      <right style="double">
        <color theme="8" tint="0.59999389629810485"/>
      </right>
      <top style="thin">
        <color theme="0"/>
      </top>
      <bottom style="thin">
        <color theme="0"/>
      </bottom>
      <diagonal/>
    </border>
    <border>
      <left style="double">
        <color theme="8" tint="0.59999389629810485"/>
      </left>
      <right style="thin">
        <color theme="8" tint="0.79998168889431442"/>
      </right>
      <top style="thin">
        <color theme="8" tint="0.79998168889431442"/>
      </top>
      <bottom style="double">
        <color theme="8" tint="0.59999389629810485"/>
      </bottom>
      <diagonal/>
    </border>
    <border>
      <left style="thin">
        <color theme="8" tint="0.79998168889431442"/>
      </left>
      <right style="double">
        <color theme="8" tint="0.59999389629810485"/>
      </right>
      <top style="thin">
        <color theme="0"/>
      </top>
      <bottom style="double">
        <color theme="8" tint="0.59999389629810485"/>
      </bottom>
      <diagonal/>
    </border>
    <border>
      <left style="thin">
        <color theme="0"/>
      </left>
      <right style="thin">
        <color theme="0"/>
      </right>
      <top/>
      <bottom style="thin">
        <color theme="0"/>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thin">
        <color theme="3" tint="-0.499984740745262"/>
      </left>
      <right style="thin">
        <color theme="3" tint="-0.499984740745262"/>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9" tint="0.79998168889431442"/>
      </left>
      <right style="thin">
        <color theme="9" tint="0.79998168889431442"/>
      </right>
      <top/>
      <bottom/>
      <diagonal/>
    </border>
    <border>
      <left style="thin">
        <color theme="4" tint="0.39997558519241921"/>
      </left>
      <right/>
      <top/>
      <bottom/>
      <diagonal/>
    </border>
    <border>
      <left/>
      <right style="thin">
        <color theme="4" tint="0.39997558519241921"/>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theme="8" tint="0.59999389629810485"/>
      </left>
      <right style="thin">
        <color theme="0"/>
      </right>
      <top style="thin">
        <color theme="0"/>
      </top>
      <bottom style="thin">
        <color theme="0"/>
      </bottom>
      <diagonal/>
    </border>
    <border>
      <left/>
      <right style="thin">
        <color theme="8" tint="0.79998168889431442"/>
      </right>
      <top style="thin">
        <color theme="0"/>
      </top>
      <bottom style="thin">
        <color theme="0"/>
      </bottom>
      <diagonal/>
    </border>
    <border>
      <left style="thin">
        <color theme="8" tint="0.79998168889431442"/>
      </left>
      <right style="thin">
        <color theme="8" tint="0.79998168889431442"/>
      </right>
      <top/>
      <bottom style="thin">
        <color theme="0"/>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indexed="64"/>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9" tint="0.79998168889431442"/>
      </left>
      <right/>
      <top style="thin">
        <color theme="0"/>
      </top>
      <bottom style="thin">
        <color theme="4" tint="0.39997558519241921"/>
      </bottom>
      <diagonal/>
    </border>
    <border>
      <left/>
      <right style="thin">
        <color theme="4" tint="0.39997558519241921"/>
      </right>
      <top style="thin">
        <color theme="0"/>
      </top>
      <bottom style="thin">
        <color theme="4" tint="0.39997558519241921"/>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11" fillId="0" borderId="0"/>
    <xf numFmtId="0" fontId="11" fillId="0" borderId="0"/>
    <xf numFmtId="0" fontId="35" fillId="17" borderId="0" applyNumberFormat="0" applyBorder="0" applyAlignment="0" applyProtection="0"/>
    <xf numFmtId="0" fontId="38" fillId="18" borderId="0" applyNumberFormat="0" applyBorder="0" applyAlignment="0" applyProtection="0"/>
  </cellStyleXfs>
  <cellXfs count="192">
    <xf numFmtId="0" fontId="0" fillId="0" borderId="0" xfId="0"/>
    <xf numFmtId="0" fontId="3" fillId="2" borderId="1" xfId="0" applyFont="1" applyFill="1" applyBorder="1" applyAlignment="1">
      <alignment horizontal="center" vertical="center"/>
    </xf>
    <xf numFmtId="0" fontId="4" fillId="3" borderId="1" xfId="0" applyFont="1" applyFill="1" applyBorder="1" applyAlignment="1">
      <alignment horizontal="center"/>
    </xf>
    <xf numFmtId="0" fontId="4" fillId="3" borderId="1" xfId="0" quotePrefix="1" applyFont="1" applyFill="1" applyBorder="1" applyAlignment="1">
      <alignment horizontal="center"/>
    </xf>
    <xf numFmtId="0" fontId="0" fillId="0" borderId="0" xfId="0" applyAlignment="1">
      <alignment horizontal="center" vertical="center"/>
    </xf>
    <xf numFmtId="0" fontId="0" fillId="6" borderId="0" xfId="0" applyFill="1" applyAlignment="1">
      <alignment horizontal="center" vertical="center"/>
    </xf>
    <xf numFmtId="0" fontId="0" fillId="6" borderId="12" xfId="0" applyFill="1" applyBorder="1" applyAlignment="1">
      <alignment horizontal="center" vertical="center"/>
    </xf>
    <xf numFmtId="0" fontId="0" fillId="6" borderId="12" xfId="0" applyFill="1" applyBorder="1" applyAlignment="1">
      <alignment horizontal="center" vertical="center" wrapText="1"/>
    </xf>
    <xf numFmtId="0" fontId="0" fillId="6" borderId="10" xfId="0" applyFill="1" applyBorder="1" applyAlignment="1">
      <alignment horizontal="center" vertical="center"/>
    </xf>
    <xf numFmtId="0" fontId="6" fillId="8" borderId="14" xfId="0" applyFont="1" applyFill="1" applyBorder="1" applyAlignment="1">
      <alignment horizontal="center" vertical="center"/>
    </xf>
    <xf numFmtId="0" fontId="6" fillId="8" borderId="15" xfId="0" applyFont="1" applyFill="1" applyBorder="1" applyAlignment="1">
      <alignment horizontal="center" vertical="center"/>
    </xf>
    <xf numFmtId="0" fontId="6" fillId="8" borderId="16" xfId="0" applyFont="1" applyFill="1" applyBorder="1" applyAlignment="1">
      <alignment horizontal="center" vertical="center"/>
    </xf>
    <xf numFmtId="0" fontId="8" fillId="6" borderId="4" xfId="0" applyFont="1" applyFill="1" applyBorder="1" applyAlignment="1">
      <alignment horizontal="center" vertical="center"/>
    </xf>
    <xf numFmtId="0" fontId="8" fillId="6" borderId="2" xfId="0" applyFont="1" applyFill="1" applyBorder="1" applyAlignment="1">
      <alignment horizontal="center" vertical="center"/>
    </xf>
    <xf numFmtId="0" fontId="9" fillId="7" borderId="5" xfId="0" applyFont="1" applyFill="1" applyBorder="1" applyAlignment="1">
      <alignment horizontal="center" vertical="center"/>
    </xf>
    <xf numFmtId="0" fontId="9" fillId="7" borderId="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7" xfId="0" applyFont="1" applyFill="1" applyBorder="1" applyAlignment="1">
      <alignment horizontal="center" wrapText="1"/>
    </xf>
    <xf numFmtId="0" fontId="0" fillId="6" borderId="10" xfId="0" applyFill="1" applyBorder="1" applyAlignment="1">
      <alignment horizontal="center" vertical="center" wrapText="1"/>
    </xf>
    <xf numFmtId="43" fontId="9" fillId="7" borderId="6" xfId="1" applyFont="1" applyFill="1" applyBorder="1" applyAlignment="1">
      <alignment horizontal="center" vertical="center" wrapText="1"/>
    </xf>
    <xf numFmtId="9" fontId="0" fillId="0" borderId="0" xfId="2" applyFont="1"/>
    <xf numFmtId="43" fontId="0" fillId="0" borderId="0" xfId="1" applyFont="1"/>
    <xf numFmtId="43" fontId="2" fillId="7" borderId="9" xfId="0" applyNumberFormat="1" applyFont="1" applyFill="1" applyBorder="1" applyAlignment="1">
      <alignment horizontal="center" vertical="center"/>
    </xf>
    <xf numFmtId="0" fontId="9" fillId="7" borderId="6" xfId="1" applyNumberFormat="1" applyFont="1" applyFill="1" applyBorder="1" applyAlignment="1">
      <alignment horizontal="center" vertical="center" wrapText="1"/>
    </xf>
    <xf numFmtId="0" fontId="8" fillId="6" borderId="22" xfId="0" applyFont="1" applyFill="1" applyBorder="1" applyAlignment="1">
      <alignment horizontal="center" vertical="center"/>
    </xf>
    <xf numFmtId="43" fontId="2" fillId="7" borderId="22" xfId="0" applyNumberFormat="1" applyFont="1" applyFill="1" applyBorder="1" applyAlignment="1">
      <alignment horizontal="center" vertical="center"/>
    </xf>
    <xf numFmtId="0" fontId="0" fillId="0" borderId="0" xfId="0" applyBorder="1"/>
    <xf numFmtId="0" fontId="12" fillId="3" borderId="1" xfId="3" applyFont="1" applyFill="1" applyBorder="1"/>
    <xf numFmtId="49" fontId="13" fillId="3" borderId="1" xfId="3" applyNumberFormat="1" applyFont="1" applyFill="1" applyBorder="1"/>
    <xf numFmtId="49" fontId="8" fillId="3" borderId="1" xfId="3" applyNumberFormat="1" applyFont="1" applyFill="1" applyBorder="1"/>
    <xf numFmtId="0" fontId="11" fillId="3" borderId="1" xfId="3" applyFill="1" applyBorder="1"/>
    <xf numFmtId="49" fontId="11" fillId="3" borderId="1" xfId="3" applyNumberFormat="1" applyFill="1" applyBorder="1"/>
    <xf numFmtId="0" fontId="2" fillId="10" borderId="12" xfId="0" applyFont="1" applyFill="1" applyBorder="1" applyAlignment="1">
      <alignment horizontal="center" vertical="center"/>
    </xf>
    <xf numFmtId="0" fontId="9" fillId="7" borderId="8" xfId="0" applyFont="1" applyFill="1" applyBorder="1" applyAlignment="1">
      <alignment horizontal="center" vertical="center" wrapText="1"/>
    </xf>
    <xf numFmtId="0" fontId="5" fillId="0" borderId="9" xfId="0" applyFont="1" applyBorder="1" applyAlignment="1">
      <alignment horizontal="center"/>
    </xf>
    <xf numFmtId="0" fontId="5" fillId="0" borderId="27" xfId="0" applyFont="1" applyBorder="1" applyAlignment="1">
      <alignment horizontal="center" vertical="center"/>
    </xf>
    <xf numFmtId="0" fontId="9" fillId="7" borderId="21" xfId="0" applyFont="1" applyFill="1" applyBorder="1" applyAlignment="1">
      <alignment horizontal="center" vertical="center" wrapText="1"/>
    </xf>
    <xf numFmtId="14" fontId="2" fillId="9" borderId="25" xfId="0" applyNumberFormat="1" applyFont="1" applyFill="1" applyBorder="1" applyAlignment="1" applyProtection="1">
      <alignment horizontal="center" vertical="center"/>
      <protection locked="0"/>
    </xf>
    <xf numFmtId="43" fontId="2" fillId="9" borderId="23" xfId="1" applyFont="1" applyFill="1" applyBorder="1" applyAlignment="1" applyProtection="1">
      <alignment horizontal="center" vertical="center"/>
      <protection locked="0"/>
    </xf>
    <xf numFmtId="0" fontId="0" fillId="0" borderId="11" xfId="0" applyBorder="1" applyProtection="1">
      <protection locked="0"/>
    </xf>
    <xf numFmtId="9" fontId="0" fillId="0" borderId="11" xfId="2" applyFont="1" applyBorder="1" applyProtection="1">
      <protection locked="0"/>
    </xf>
    <xf numFmtId="0" fontId="0" fillId="0" borderId="0" xfId="0" applyBorder="1" applyAlignment="1">
      <alignment horizontal="center" vertical="center"/>
    </xf>
    <xf numFmtId="0" fontId="8" fillId="0" borderId="0" xfId="0" applyFont="1" applyBorder="1" applyAlignment="1">
      <alignment horizontal="center" vertical="center" wrapText="1"/>
    </xf>
    <xf numFmtId="0" fontId="0" fillId="0" borderId="0" xfId="0" applyAlignment="1">
      <alignment horizontal="center"/>
    </xf>
    <xf numFmtId="0" fontId="0" fillId="0" borderId="11" xfId="0" applyBorder="1" applyAlignment="1" applyProtection="1">
      <alignment horizontal="center" vertical="center"/>
      <protection locked="0"/>
    </xf>
    <xf numFmtId="49" fontId="2" fillId="9" borderId="11" xfId="0" applyNumberFormat="1" applyFont="1" applyFill="1" applyBorder="1" applyAlignment="1" applyProtection="1">
      <alignment horizontal="center" vertical="center"/>
      <protection locked="0"/>
    </xf>
    <xf numFmtId="0" fontId="2" fillId="9" borderId="11" xfId="0" applyFont="1" applyFill="1" applyBorder="1" applyAlignment="1" applyProtection="1">
      <alignment horizontal="center" vertical="center"/>
      <protection locked="0"/>
    </xf>
    <xf numFmtId="0" fontId="2" fillId="9" borderId="23" xfId="0" applyFont="1" applyFill="1" applyBorder="1" applyAlignment="1" applyProtection="1">
      <alignment horizontal="center" vertical="center" wrapText="1"/>
      <protection locked="0"/>
    </xf>
    <xf numFmtId="43" fontId="0" fillId="0" borderId="11" xfId="1" applyFont="1" applyBorder="1"/>
    <xf numFmtId="0" fontId="18" fillId="13" borderId="19" xfId="0" applyFont="1" applyFill="1" applyBorder="1" applyAlignment="1">
      <alignment horizontal="center" vertical="center"/>
    </xf>
    <xf numFmtId="43" fontId="18" fillId="13" borderId="20" xfId="1" applyFont="1" applyFill="1" applyBorder="1" applyAlignment="1">
      <alignment vertical="center"/>
    </xf>
    <xf numFmtId="43" fontId="0" fillId="5" borderId="17" xfId="1" applyFont="1" applyFill="1" applyBorder="1" applyAlignment="1">
      <alignment vertical="center"/>
    </xf>
    <xf numFmtId="43" fontId="0" fillId="5" borderId="18" xfId="1" applyFont="1" applyFill="1" applyBorder="1" applyAlignment="1">
      <alignment vertical="center"/>
    </xf>
    <xf numFmtId="0" fontId="8" fillId="14" borderId="33" xfId="0" applyFont="1" applyFill="1" applyBorder="1" applyAlignment="1">
      <alignment vertical="center" wrapText="1"/>
    </xf>
    <xf numFmtId="0" fontId="8" fillId="14" borderId="34" xfId="0" applyFont="1" applyFill="1" applyBorder="1" applyAlignment="1">
      <alignment vertical="center" wrapText="1"/>
    </xf>
    <xf numFmtId="0" fontId="8" fillId="14" borderId="35" xfId="0" applyFont="1" applyFill="1" applyBorder="1" applyAlignment="1">
      <alignment vertical="center" wrapText="1"/>
    </xf>
    <xf numFmtId="0" fontId="0" fillId="14" borderId="36" xfId="0" applyFill="1" applyBorder="1" applyAlignment="1">
      <alignment vertical="center" wrapText="1"/>
    </xf>
    <xf numFmtId="0" fontId="19" fillId="15" borderId="37" xfId="0" applyFont="1" applyFill="1" applyBorder="1" applyAlignment="1">
      <alignment horizontal="center"/>
    </xf>
    <xf numFmtId="9" fontId="19" fillId="15" borderId="37" xfId="2" applyFont="1" applyFill="1" applyBorder="1" applyAlignment="1">
      <alignment horizontal="center"/>
    </xf>
    <xf numFmtId="10" fontId="19" fillId="15" borderId="37" xfId="0" applyNumberFormat="1" applyFont="1" applyFill="1" applyBorder="1" applyAlignment="1">
      <alignment horizontal="center"/>
    </xf>
    <xf numFmtId="10" fontId="0" fillId="0" borderId="0" xfId="2" applyNumberFormat="1" applyFont="1"/>
    <xf numFmtId="0" fontId="8" fillId="14" borderId="40" xfId="0" applyFont="1" applyFill="1" applyBorder="1" applyAlignment="1">
      <alignment vertical="center" wrapText="1"/>
    </xf>
    <xf numFmtId="0" fontId="0" fillId="14" borderId="36" xfId="0" applyFill="1" applyBorder="1" applyAlignment="1">
      <alignment horizontal="left" vertical="center"/>
    </xf>
    <xf numFmtId="10" fontId="21" fillId="14" borderId="43" xfId="2" applyNumberFormat="1" applyFont="1" applyFill="1" applyBorder="1" applyAlignment="1">
      <alignment vertical="center" wrapText="1"/>
    </xf>
    <xf numFmtId="0" fontId="8" fillId="14" borderId="51" xfId="0" applyFont="1" applyFill="1" applyBorder="1" applyAlignment="1">
      <alignment vertical="center" wrapText="1"/>
    </xf>
    <xf numFmtId="0" fontId="8" fillId="14" borderId="47" xfId="0" applyFont="1" applyFill="1" applyBorder="1" applyAlignment="1">
      <alignment vertical="center" wrapText="1"/>
    </xf>
    <xf numFmtId="0" fontId="8" fillId="14" borderId="47" xfId="0" applyFont="1" applyFill="1" applyBorder="1" applyAlignment="1">
      <alignment horizontal="left" vertical="center"/>
    </xf>
    <xf numFmtId="0" fontId="21" fillId="16" borderId="52" xfId="0" applyFont="1" applyFill="1" applyBorder="1" applyAlignment="1">
      <alignment horizontal="center" vertical="center" wrapText="1"/>
    </xf>
    <xf numFmtId="10" fontId="21" fillId="16" borderId="52" xfId="0" applyNumberFormat="1" applyFont="1" applyFill="1" applyBorder="1" applyAlignment="1">
      <alignment horizontal="center" vertical="center" wrapText="1"/>
    </xf>
    <xf numFmtId="9" fontId="21" fillId="16" borderId="52" xfId="2" applyFont="1" applyFill="1" applyBorder="1" applyAlignment="1">
      <alignment horizontal="center" vertical="center" wrapText="1"/>
    </xf>
    <xf numFmtId="1" fontId="23" fillId="14" borderId="43" xfId="2" applyNumberFormat="1" applyFont="1" applyFill="1" applyBorder="1" applyAlignment="1">
      <alignment horizontal="center" vertical="center" wrapText="1"/>
    </xf>
    <xf numFmtId="0" fontId="0" fillId="0" borderId="52" xfId="0" applyBorder="1" applyAlignment="1">
      <alignment horizontal="center" vertical="center"/>
    </xf>
    <xf numFmtId="0" fontId="26" fillId="0" borderId="52" xfId="4" applyFont="1" applyBorder="1" applyAlignment="1">
      <alignment horizontal="left" vertical="top" wrapText="1"/>
    </xf>
    <xf numFmtId="0" fontId="26" fillId="0" borderId="52" xfId="4" applyFont="1" applyBorder="1" applyAlignment="1">
      <alignment horizontal="center" vertical="top" wrapText="1"/>
    </xf>
    <xf numFmtId="9" fontId="27" fillId="0" borderId="1" xfId="2" applyFont="1" applyFill="1" applyBorder="1" applyAlignment="1">
      <alignment horizontal="center"/>
    </xf>
    <xf numFmtId="0" fontId="27" fillId="0" borderId="1" xfId="0" applyFont="1" applyBorder="1" applyAlignment="1">
      <alignment horizontal="center"/>
    </xf>
    <xf numFmtId="10" fontId="27" fillId="0" borderId="1" xfId="0" applyNumberFormat="1" applyFont="1" applyBorder="1" applyAlignment="1">
      <alignment horizontal="center"/>
    </xf>
    <xf numFmtId="164" fontId="27" fillId="0" borderId="1" xfId="2" applyNumberFormat="1" applyFont="1" applyFill="1" applyBorder="1" applyAlignment="1">
      <alignment horizontal="center" vertical="center"/>
    </xf>
    <xf numFmtId="1" fontId="27" fillId="0" borderId="1" xfId="2" applyNumberFormat="1" applyFont="1" applyFill="1" applyBorder="1" applyAlignment="1">
      <alignment horizontal="center" vertical="center"/>
    </xf>
    <xf numFmtId="10" fontId="27" fillId="0" borderId="1" xfId="2" applyNumberFormat="1" applyFont="1" applyFill="1" applyBorder="1" applyAlignment="1">
      <alignment horizontal="center" vertical="center"/>
    </xf>
    <xf numFmtId="10" fontId="0" fillId="0" borderId="0" xfId="2" applyNumberFormat="1" applyFont="1" applyFill="1"/>
    <xf numFmtId="0" fontId="0" fillId="0" borderId="1" xfId="0" applyBorder="1" applyAlignment="1">
      <alignment horizontal="center" vertical="center"/>
    </xf>
    <xf numFmtId="0" fontId="26" fillId="0" borderId="1" xfId="4" applyFont="1" applyBorder="1" applyAlignment="1">
      <alignment horizontal="left" vertical="top" wrapText="1"/>
    </xf>
    <xf numFmtId="0" fontId="26" fillId="0" borderId="1" xfId="4" applyFont="1" applyBorder="1" applyAlignment="1">
      <alignment horizontal="left" vertical="top"/>
    </xf>
    <xf numFmtId="0" fontId="26" fillId="0" borderId="1" xfId="4" applyFont="1" applyBorder="1" applyAlignment="1">
      <alignment horizontal="center" vertical="top"/>
    </xf>
    <xf numFmtId="0" fontId="26" fillId="0" borderId="1" xfId="4" applyFont="1" applyBorder="1" applyAlignment="1">
      <alignment horizontal="center" vertical="top" wrapText="1"/>
    </xf>
    <xf numFmtId="9" fontId="27" fillId="0" borderId="1" xfId="2" applyFont="1" applyFill="1" applyBorder="1" applyAlignment="1">
      <alignment horizontal="center" vertical="center"/>
    </xf>
    <xf numFmtId="10" fontId="27" fillId="0" borderId="0" xfId="2" applyNumberFormat="1" applyFont="1" applyFill="1" applyBorder="1" applyAlignment="1">
      <alignment horizontal="center" vertical="center"/>
    </xf>
    <xf numFmtId="2" fontId="27" fillId="0" borderId="1" xfId="2" applyNumberFormat="1" applyFont="1" applyFill="1" applyBorder="1" applyAlignment="1">
      <alignment horizontal="center" vertical="center"/>
    </xf>
    <xf numFmtId="10" fontId="27" fillId="0" borderId="0" xfId="0" applyNumberFormat="1" applyFont="1" applyAlignment="1">
      <alignment horizontal="center"/>
    </xf>
    <xf numFmtId="164" fontId="27" fillId="0" borderId="1" xfId="2" applyNumberFormat="1" applyFont="1" applyFill="1" applyBorder="1" applyAlignment="1">
      <alignment horizontal="center"/>
    </xf>
    <xf numFmtId="10" fontId="27" fillId="0" borderId="1" xfId="2" applyNumberFormat="1" applyFont="1" applyFill="1" applyBorder="1" applyAlignment="1">
      <alignment horizontal="center"/>
    </xf>
    <xf numFmtId="0" fontId="0" fillId="0" borderId="0" xfId="0" applyAlignment="1">
      <alignment horizontal="left" vertical="top"/>
    </xf>
    <xf numFmtId="0" fontId="0" fillId="0" borderId="0" xfId="0" applyAlignment="1">
      <alignment horizontal="center" vertical="top"/>
    </xf>
    <xf numFmtId="0" fontId="0" fillId="0" borderId="1" xfId="0" applyBorder="1" applyAlignment="1">
      <alignment horizontal="left" vertical="top"/>
    </xf>
    <xf numFmtId="9" fontId="27" fillId="0" borderId="1" xfId="2" applyFont="1" applyBorder="1" applyAlignment="1">
      <alignment horizontal="center"/>
    </xf>
    <xf numFmtId="1" fontId="27" fillId="0" borderId="1" xfId="2" applyNumberFormat="1" applyFont="1" applyBorder="1" applyAlignment="1">
      <alignment horizontal="center" vertical="center"/>
    </xf>
    <xf numFmtId="10" fontId="27" fillId="0" borderId="1" xfId="2" applyNumberFormat="1" applyFont="1" applyBorder="1" applyAlignment="1">
      <alignment horizontal="center" vertical="center"/>
    </xf>
    <xf numFmtId="10" fontId="0" fillId="0" borderId="0" xfId="0" applyNumberFormat="1"/>
    <xf numFmtId="0" fontId="28" fillId="0" borderId="53" xfId="0" applyFont="1" applyBorder="1" applyAlignment="1">
      <alignment horizontal="center"/>
    </xf>
    <xf numFmtId="0" fontId="0" fillId="10" borderId="0" xfId="0" applyFill="1" applyAlignment="1">
      <alignment horizontal="center" vertical="center"/>
    </xf>
    <xf numFmtId="0" fontId="0" fillId="10" borderId="0" xfId="0" applyFill="1" applyAlignment="1">
      <alignment horizontal="left" vertical="top" wrapText="1"/>
    </xf>
    <xf numFmtId="1" fontId="0" fillId="0" borderId="0" xfId="0" applyNumberFormat="1" applyAlignment="1">
      <alignment horizontal="center"/>
    </xf>
    <xf numFmtId="165" fontId="0" fillId="0" borderId="0" xfId="0" applyNumberFormat="1" applyAlignment="1">
      <alignment horizontal="left" vertical="top" wrapText="1"/>
    </xf>
    <xf numFmtId="0" fontId="0" fillId="10" borderId="0" xfId="0" applyFill="1" applyAlignment="1">
      <alignment horizontal="left" vertical="top"/>
    </xf>
    <xf numFmtId="0" fontId="0" fillId="0" borderId="0" xfId="0" applyAlignment="1">
      <alignment horizontal="left" vertical="top" wrapText="1"/>
    </xf>
    <xf numFmtId="10" fontId="25" fillId="14" borderId="50" xfId="2" applyNumberFormat="1" applyFont="1" applyFill="1" applyBorder="1" applyAlignment="1">
      <alignment vertical="center" wrapText="1"/>
    </xf>
    <xf numFmtId="10" fontId="21" fillId="14" borderId="52" xfId="2" applyNumberFormat="1" applyFont="1" applyFill="1" applyBorder="1" applyAlignment="1">
      <alignment horizontal="center" vertical="center" wrapText="1"/>
    </xf>
    <xf numFmtId="10" fontId="0" fillId="0" borderId="0" xfId="2" applyNumberFormat="1" applyFont="1" applyAlignment="1">
      <alignment horizontal="center"/>
    </xf>
    <xf numFmtId="10" fontId="28" fillId="0" borderId="53" xfId="2" applyNumberFormat="1" applyFont="1" applyBorder="1" applyAlignment="1">
      <alignment horizontal="center"/>
    </xf>
    <xf numFmtId="10" fontId="21" fillId="14" borderId="1" xfId="2" applyNumberFormat="1" applyFont="1" applyFill="1" applyBorder="1" applyAlignment="1">
      <alignment horizontal="center" vertical="center" wrapText="1"/>
    </xf>
    <xf numFmtId="10" fontId="28" fillId="0" borderId="1" xfId="2" applyNumberFormat="1" applyFont="1" applyBorder="1" applyAlignment="1">
      <alignment horizontal="center"/>
    </xf>
    <xf numFmtId="10" fontId="0" fillId="0" borderId="11" xfId="2" applyNumberFormat="1" applyFont="1" applyBorder="1" applyAlignment="1" applyProtection="1">
      <alignment vertical="center"/>
      <protection locked="0"/>
    </xf>
    <xf numFmtId="10" fontId="15" fillId="0" borderId="0" xfId="0" applyNumberFormat="1" applyFont="1"/>
    <xf numFmtId="43" fontId="9" fillId="7" borderId="55" xfId="1" applyFont="1" applyFill="1" applyBorder="1" applyAlignment="1">
      <alignment horizontal="center" vertical="center" wrapText="1"/>
    </xf>
    <xf numFmtId="0" fontId="9" fillId="7" borderId="26" xfId="1" applyNumberFormat="1" applyFont="1" applyFill="1" applyBorder="1" applyAlignment="1">
      <alignment horizontal="center" vertical="center" wrapText="1"/>
    </xf>
    <xf numFmtId="0" fontId="31" fillId="0" borderId="0" xfId="0" applyFont="1" applyAlignment="1">
      <alignment vertical="center"/>
    </xf>
    <xf numFmtId="0" fontId="0" fillId="0" borderId="0" xfId="0" applyAlignment="1">
      <alignment horizontal="left" vertical="center" indent="1"/>
    </xf>
    <xf numFmtId="0" fontId="8" fillId="0" borderId="0" xfId="0" applyFont="1" applyAlignment="1">
      <alignment horizontal="left" vertical="center" indent="1"/>
    </xf>
    <xf numFmtId="0" fontId="0" fillId="0" borderId="0" xfId="0" applyAlignment="1">
      <alignment horizontal="left" vertical="center" indent="2"/>
    </xf>
    <xf numFmtId="0" fontId="8" fillId="0" borderId="0" xfId="0" applyFont="1" applyAlignment="1">
      <alignment horizontal="left" vertical="center" indent="2"/>
    </xf>
    <xf numFmtId="0" fontId="0" fillId="0" borderId="0" xfId="0" applyAlignment="1">
      <alignment horizontal="left" vertical="center" indent="3"/>
    </xf>
    <xf numFmtId="0" fontId="8" fillId="6" borderId="4" xfId="0" applyFont="1" applyFill="1" applyBorder="1" applyAlignment="1">
      <alignment horizontal="center" vertical="center" wrapText="1"/>
    </xf>
    <xf numFmtId="16" fontId="2" fillId="9" borderId="24" xfId="0" applyNumberFormat="1" applyFont="1" applyFill="1" applyBorder="1" applyAlignment="1" applyProtection="1">
      <alignment horizontal="center" vertical="center"/>
      <protection locked="0"/>
    </xf>
    <xf numFmtId="0" fontId="5" fillId="0" borderId="9" xfId="0" applyFont="1" applyBorder="1" applyAlignment="1">
      <alignment horizontal="center" vertical="center"/>
    </xf>
    <xf numFmtId="0" fontId="2" fillId="9" borderId="23" xfId="0" applyFont="1" applyFill="1" applyBorder="1" applyAlignment="1" applyProtection="1">
      <alignment horizontal="center" vertical="center"/>
      <protection locked="0"/>
    </xf>
    <xf numFmtId="49" fontId="0" fillId="0" borderId="11" xfId="0" applyNumberFormat="1" applyBorder="1" applyProtection="1">
      <protection locked="0"/>
    </xf>
    <xf numFmtId="49" fontId="0" fillId="0" borderId="0" xfId="0" applyNumberFormat="1"/>
    <xf numFmtId="9" fontId="0" fillId="0" borderId="0" xfId="2" applyFont="1" applyAlignment="1">
      <alignment horizontal="center"/>
    </xf>
    <xf numFmtId="43" fontId="2" fillId="7" borderId="56" xfId="0" applyNumberFormat="1" applyFont="1" applyFill="1" applyBorder="1" applyAlignment="1">
      <alignment horizontal="center" vertical="center"/>
    </xf>
    <xf numFmtId="166" fontId="0" fillId="0" borderId="0" xfId="0" applyNumberFormat="1"/>
    <xf numFmtId="9" fontId="0" fillId="0" borderId="11" xfId="2" applyFont="1" applyBorder="1" applyAlignment="1">
      <alignment horizontal="center"/>
    </xf>
    <xf numFmtId="49" fontId="0" fillId="0" borderId="11" xfId="0" applyNumberFormat="1" applyBorder="1" applyAlignment="1" applyProtection="1">
      <alignment horizontal="center"/>
      <protection locked="0"/>
    </xf>
    <xf numFmtId="0" fontId="0" fillId="0" borderId="11" xfId="0" applyBorder="1" applyAlignment="1" applyProtection="1">
      <alignment horizontal="center"/>
      <protection locked="0"/>
    </xf>
    <xf numFmtId="43" fontId="0" fillId="0" borderId="11" xfId="1" applyFont="1" applyBorder="1" applyAlignment="1" applyProtection="1">
      <alignment horizontal="center" vertical="center"/>
      <protection locked="0"/>
    </xf>
    <xf numFmtId="2" fontId="0" fillId="0" borderId="11" xfId="0" applyNumberFormat="1" applyBorder="1" applyAlignment="1">
      <alignment horizontal="center"/>
    </xf>
    <xf numFmtId="0" fontId="34" fillId="0" borderId="0" xfId="0" applyFont="1" applyAlignment="1">
      <alignment horizontal="left" vertical="center" wrapText="1" indent="1"/>
    </xf>
    <xf numFmtId="0" fontId="3" fillId="2" borderId="59"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4" fillId="3" borderId="1" xfId="0" applyNumberFormat="1" applyFont="1" applyFill="1" applyBorder="1" applyAlignment="1">
      <alignment horizontal="center"/>
    </xf>
    <xf numFmtId="43" fontId="0" fillId="0" borderId="0" xfId="0" applyNumberFormat="1" applyBorder="1" applyAlignment="1">
      <alignment horizontal="center"/>
    </xf>
    <xf numFmtId="0" fontId="0" fillId="0" borderId="0" xfId="0" applyBorder="1" applyAlignment="1">
      <alignment horizontal="center"/>
    </xf>
    <xf numFmtId="10" fontId="37" fillId="0" borderId="11" xfId="2" applyNumberFormat="1" applyFont="1" applyBorder="1" applyAlignment="1" applyProtection="1">
      <alignment vertical="center"/>
      <protection locked="0"/>
    </xf>
    <xf numFmtId="49" fontId="0" fillId="0" borderId="11" xfId="0" applyNumberFormat="1" applyBorder="1" applyAlignment="1">
      <alignment horizontal="center"/>
    </xf>
    <xf numFmtId="43" fontId="0" fillId="0" borderId="11" xfId="1" applyFont="1" applyBorder="1" applyAlignment="1" applyProtection="1">
      <alignment horizontal="center"/>
      <protection locked="0"/>
    </xf>
    <xf numFmtId="43" fontId="9" fillId="7" borderId="54" xfId="1" applyFont="1" applyFill="1" applyBorder="1" applyAlignment="1">
      <alignment horizontal="center" vertical="center" wrapText="1"/>
    </xf>
    <xf numFmtId="0" fontId="14" fillId="19" borderId="57" xfId="0" applyFont="1" applyFill="1" applyBorder="1" applyAlignment="1">
      <alignment horizontal="center" vertical="center"/>
    </xf>
    <xf numFmtId="0" fontId="14" fillId="12" borderId="58"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2" xfId="0" applyFont="1" applyFill="1" applyBorder="1" applyAlignment="1">
      <alignment horizontal="center" vertical="center"/>
    </xf>
    <xf numFmtId="0" fontId="17" fillId="11" borderId="30" xfId="0" applyFont="1" applyFill="1" applyBorder="1" applyAlignment="1">
      <alignment horizontal="center" vertical="center"/>
    </xf>
    <xf numFmtId="0" fontId="17" fillId="11" borderId="31" xfId="0" applyFont="1" applyFill="1" applyBorder="1" applyAlignment="1">
      <alignment horizontal="center" vertical="center"/>
    </xf>
    <xf numFmtId="0" fontId="17" fillId="11" borderId="32" xfId="0" applyFont="1" applyFill="1" applyBorder="1" applyAlignment="1">
      <alignment horizontal="center" vertical="center"/>
    </xf>
    <xf numFmtId="0" fontId="16" fillId="11" borderId="0" xfId="0" applyFont="1" applyFill="1" applyBorder="1" applyAlignment="1">
      <alignment horizontal="center" vertical="center"/>
    </xf>
    <xf numFmtId="0" fontId="16" fillId="11" borderId="0" xfId="0" applyFont="1" applyFill="1" applyAlignment="1">
      <alignment horizontal="center" vertical="center"/>
    </xf>
    <xf numFmtId="0" fontId="5" fillId="0" borderId="3" xfId="0" applyFont="1" applyBorder="1" applyAlignment="1">
      <alignment horizontal="center" vertical="center"/>
    </xf>
    <xf numFmtId="0" fontId="5" fillId="0" borderId="9" xfId="0" applyFont="1" applyBorder="1" applyAlignment="1">
      <alignment horizontal="center" vertical="center"/>
    </xf>
    <xf numFmtId="0" fontId="10" fillId="0" borderId="28" xfId="0" applyFont="1" applyBorder="1" applyAlignment="1">
      <alignment horizontal="center" vertical="center"/>
    </xf>
    <xf numFmtId="0" fontId="10" fillId="0" borderId="29" xfId="0" applyFont="1" applyBorder="1" applyAlignment="1">
      <alignment horizontal="center" vertical="center"/>
    </xf>
    <xf numFmtId="0" fontId="2" fillId="9" borderId="23" xfId="0" applyFont="1" applyFill="1" applyBorder="1" applyAlignment="1" applyProtection="1">
      <alignment horizontal="center" vertical="center"/>
      <protection locked="0"/>
    </xf>
    <xf numFmtId="0" fontId="38" fillId="18" borderId="0" xfId="6" applyAlignment="1">
      <alignment horizontal="center" vertical="center"/>
    </xf>
    <xf numFmtId="0" fontId="35" fillId="17" borderId="0" xfId="5" applyAlignment="1">
      <alignment horizontal="center" vertical="center"/>
    </xf>
    <xf numFmtId="0" fontId="36" fillId="5" borderId="60" xfId="0" applyFont="1" applyFill="1" applyBorder="1" applyAlignment="1">
      <alignment horizontal="center" vertical="center" wrapText="1"/>
    </xf>
    <xf numFmtId="0" fontId="36" fillId="5" borderId="61" xfId="0" applyFont="1" applyFill="1" applyBorder="1" applyAlignment="1">
      <alignment horizontal="center" vertical="center" wrapText="1"/>
    </xf>
    <xf numFmtId="0" fontId="5" fillId="0" borderId="62" xfId="0" applyFont="1" applyBorder="1" applyAlignment="1">
      <alignment horizontal="center" vertical="center"/>
    </xf>
    <xf numFmtId="0" fontId="5" fillId="0" borderId="63" xfId="0" applyFont="1" applyBorder="1" applyAlignment="1">
      <alignment horizontal="center" vertical="center"/>
    </xf>
    <xf numFmtId="1" fontId="23" fillId="14" borderId="43" xfId="2" applyNumberFormat="1" applyFont="1" applyFill="1" applyBorder="1" applyAlignment="1">
      <alignment horizontal="center" vertical="center" wrapText="1"/>
    </xf>
    <xf numFmtId="1" fontId="23" fillId="14" borderId="49" xfId="2" applyNumberFormat="1" applyFont="1" applyFill="1" applyBorder="1" applyAlignment="1">
      <alignment horizontal="center" vertical="center" wrapText="1"/>
    </xf>
    <xf numFmtId="9" fontId="21" fillId="14" borderId="44" xfId="2" applyFont="1" applyFill="1" applyBorder="1" applyAlignment="1">
      <alignment horizontal="center" vertical="center" wrapText="1"/>
    </xf>
    <xf numFmtId="10" fontId="21" fillId="14" borderId="45" xfId="2" applyNumberFormat="1" applyFont="1" applyFill="1" applyBorder="1" applyAlignment="1">
      <alignment horizontal="center" vertical="center" wrapText="1"/>
    </xf>
    <xf numFmtId="0" fontId="21" fillId="16" borderId="36" xfId="0" applyFont="1" applyFill="1" applyBorder="1" applyAlignment="1">
      <alignment horizontal="center" vertical="center" wrapText="1"/>
    </xf>
    <xf numFmtId="0" fontId="21" fillId="16" borderId="40" xfId="0" applyFont="1" applyFill="1" applyBorder="1" applyAlignment="1">
      <alignment horizontal="center" vertical="center" wrapText="1"/>
    </xf>
    <xf numFmtId="0" fontId="21" fillId="16" borderId="46" xfId="0" applyFont="1" applyFill="1" applyBorder="1" applyAlignment="1">
      <alignment horizontal="center" vertical="center" wrapText="1"/>
    </xf>
    <xf numFmtId="0" fontId="21" fillId="16" borderId="47" xfId="0" applyFont="1" applyFill="1" applyBorder="1" applyAlignment="1">
      <alignment horizontal="center" vertical="center" wrapText="1"/>
    </xf>
    <xf numFmtId="10" fontId="21" fillId="16" borderId="36" xfId="0" applyNumberFormat="1" applyFont="1" applyFill="1" applyBorder="1" applyAlignment="1">
      <alignment horizontal="center" vertical="center" wrapText="1"/>
    </xf>
    <xf numFmtId="10" fontId="21" fillId="16" borderId="40" xfId="0" applyNumberFormat="1" applyFont="1" applyFill="1" applyBorder="1" applyAlignment="1">
      <alignment horizontal="center" vertical="center" wrapText="1"/>
    </xf>
    <xf numFmtId="10" fontId="21" fillId="16" borderId="46" xfId="0" applyNumberFormat="1" applyFont="1" applyFill="1" applyBorder="1" applyAlignment="1">
      <alignment horizontal="center" vertical="center" wrapText="1"/>
    </xf>
    <xf numFmtId="10" fontId="21" fillId="16" borderId="47" xfId="0" applyNumberFormat="1" applyFont="1" applyFill="1" applyBorder="1" applyAlignment="1">
      <alignment horizontal="center" vertical="center" wrapText="1"/>
    </xf>
    <xf numFmtId="10" fontId="23" fillId="14" borderId="42" xfId="2" applyNumberFormat="1" applyFont="1" applyFill="1" applyBorder="1" applyAlignment="1">
      <alignment horizontal="center" vertical="center" wrapText="1"/>
    </xf>
    <xf numFmtId="10" fontId="23" fillId="14" borderId="48" xfId="2" applyNumberFormat="1" applyFont="1" applyFill="1" applyBorder="1" applyAlignment="1">
      <alignment horizontal="center" vertical="center" wrapText="1"/>
    </xf>
    <xf numFmtId="0" fontId="19" fillId="15" borderId="37" xfId="0" applyFont="1" applyFill="1" applyBorder="1" applyAlignment="1">
      <alignment horizontal="center"/>
    </xf>
    <xf numFmtId="0" fontId="19" fillId="15" borderId="38" xfId="0" applyFont="1" applyFill="1" applyBorder="1" applyAlignment="1">
      <alignment horizontal="center"/>
    </xf>
    <xf numFmtId="0" fontId="20" fillId="15" borderId="39" xfId="0" applyFont="1" applyFill="1" applyBorder="1" applyAlignment="1">
      <alignment horizontal="center"/>
    </xf>
    <xf numFmtId="1" fontId="20" fillId="15" borderId="37" xfId="0" applyNumberFormat="1" applyFont="1" applyFill="1" applyBorder="1" applyAlignment="1">
      <alignment horizontal="center"/>
    </xf>
    <xf numFmtId="10" fontId="20" fillId="15" borderId="37" xfId="0" applyNumberFormat="1" applyFont="1" applyFill="1" applyBorder="1" applyAlignment="1">
      <alignment horizontal="center"/>
    </xf>
    <xf numFmtId="0" fontId="20" fillId="15" borderId="37" xfId="0" applyFont="1" applyFill="1" applyBorder="1" applyAlignment="1">
      <alignment horizontal="center"/>
    </xf>
    <xf numFmtId="10" fontId="20" fillId="15" borderId="38" xfId="0" applyNumberFormat="1" applyFont="1" applyFill="1" applyBorder="1" applyAlignment="1">
      <alignment horizontal="center"/>
    </xf>
    <xf numFmtId="0" fontId="21" fillId="16" borderId="41" xfId="0" applyFont="1" applyFill="1" applyBorder="1" applyAlignment="1">
      <alignment horizontal="center" vertical="center" wrapText="1"/>
    </xf>
    <xf numFmtId="0" fontId="21" fillId="16" borderId="35" xfId="0" applyFont="1" applyFill="1" applyBorder="1" applyAlignment="1">
      <alignment horizontal="center" vertical="center" wrapText="1"/>
    </xf>
    <xf numFmtId="9" fontId="21" fillId="16" borderId="46" xfId="2" applyFont="1" applyFill="1" applyBorder="1" applyAlignment="1">
      <alignment horizontal="center" vertical="center" wrapText="1"/>
    </xf>
    <xf numFmtId="10" fontId="21" fillId="14" borderId="43" xfId="2" applyNumberFormat="1" applyFont="1" applyFill="1" applyBorder="1" applyAlignment="1">
      <alignment horizontal="center" vertical="center" wrapText="1"/>
    </xf>
    <xf numFmtId="10" fontId="23" fillId="14" borderId="49" xfId="2" applyNumberFormat="1" applyFont="1" applyFill="1" applyBorder="1" applyAlignment="1">
      <alignment horizontal="center" vertical="center" wrapText="1"/>
    </xf>
  </cellXfs>
  <cellStyles count="7">
    <cellStyle name="Bom" xfId="6" builtinId="26"/>
    <cellStyle name="Normal" xfId="0" builtinId="0"/>
    <cellStyle name="Normal 2" xfId="4" xr:uid="{8942251A-F4DD-4958-A2E6-06ADDF0CC044}"/>
    <cellStyle name="Normal 3" xfId="3" xr:uid="{6D1ADB34-77C9-411D-9E69-221488B71583}"/>
    <cellStyle name="Porcentagem" xfId="2" builtinId="5"/>
    <cellStyle name="Ruim" xfId="5" builtinId="27"/>
    <cellStyle name="Vírgula" xfId="1" builtinId="3"/>
  </cellStyles>
  <dxfs count="5">
    <dxf>
      <font>
        <color rgb="FF9C0006"/>
      </font>
      <fill>
        <patternFill>
          <bgColor rgb="FFFFC7CE"/>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FFFAEB"/>
      <color rgb="FFFFFF99"/>
      <color rgb="FFFFF8E5"/>
      <color rgb="FFF7FCFF"/>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5.png"/><Relationship Id="rId10" Type="http://schemas.openxmlformats.org/officeDocument/2006/relationships/hyperlink" Target="https://youtu.be/qvyhWLAqEOM" TargetMode="External"/><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0</xdr:row>
      <xdr:rowOff>180976</xdr:rowOff>
    </xdr:from>
    <xdr:to>
      <xdr:col>2</xdr:col>
      <xdr:colOff>600590</xdr:colOff>
      <xdr:row>0</xdr:row>
      <xdr:rowOff>615630</xdr:rowOff>
    </xdr:to>
    <xdr:pic>
      <xdr:nvPicPr>
        <xdr:cNvPr id="2" name="Picture 2">
          <a:extLst>
            <a:ext uri="{FF2B5EF4-FFF2-40B4-BE49-F238E27FC236}">
              <a16:creationId xmlns:a16="http://schemas.microsoft.com/office/drawing/2014/main" id="{9DDF7652-7D75-43DE-B83F-BBB7C8BF2281}"/>
            </a:ext>
          </a:extLst>
        </xdr:cNvPr>
        <xdr:cNvPicPr>
          <a:picLocks noChangeAspect="1"/>
        </xdr:cNvPicPr>
      </xdr:nvPicPr>
      <xdr:blipFill>
        <a:blip xmlns:r="http://schemas.openxmlformats.org/officeDocument/2006/relationships" r:embed="rId1"/>
        <a:stretch>
          <a:fillRect/>
        </a:stretch>
      </xdr:blipFill>
      <xdr:spPr>
        <a:xfrm>
          <a:off x="638175" y="180976"/>
          <a:ext cx="1829315" cy="434654"/>
        </a:xfrm>
        <a:prstGeom prst="rect">
          <a:avLst/>
        </a:prstGeom>
      </xdr:spPr>
    </xdr:pic>
    <xdr:clientData/>
  </xdr:twoCellAnchor>
  <xdr:twoCellAnchor editAs="oneCell">
    <xdr:from>
      <xdr:col>3</xdr:col>
      <xdr:colOff>781051</xdr:colOff>
      <xdr:row>0</xdr:row>
      <xdr:rowOff>66675</xdr:rowOff>
    </xdr:from>
    <xdr:to>
      <xdr:col>3</xdr:col>
      <xdr:colOff>1257301</xdr:colOff>
      <xdr:row>0</xdr:row>
      <xdr:rowOff>542925</xdr:rowOff>
    </xdr:to>
    <xdr:pic macro="[0]!ValidarPreenchimento">
      <xdr:nvPicPr>
        <xdr:cNvPr id="4" name="Imagem 3">
          <a:extLst>
            <a:ext uri="{FF2B5EF4-FFF2-40B4-BE49-F238E27FC236}">
              <a16:creationId xmlns:a16="http://schemas.microsoft.com/office/drawing/2014/main" id="{CCFF7A8C-1294-4931-BFD2-B1F618F7267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48151" y="66675"/>
          <a:ext cx="476250" cy="476250"/>
        </a:xfrm>
        <a:prstGeom prst="rect">
          <a:avLst/>
        </a:prstGeom>
      </xdr:spPr>
    </xdr:pic>
    <xdr:clientData/>
  </xdr:twoCellAnchor>
  <xdr:twoCellAnchor editAs="oneCell">
    <xdr:from>
      <xdr:col>5</xdr:col>
      <xdr:colOff>114300</xdr:colOff>
      <xdr:row>7</xdr:row>
      <xdr:rowOff>114300</xdr:rowOff>
    </xdr:from>
    <xdr:to>
      <xdr:col>5</xdr:col>
      <xdr:colOff>326940</xdr:colOff>
      <xdr:row>7</xdr:row>
      <xdr:rowOff>295275</xdr:rowOff>
    </xdr:to>
    <xdr:grpSp>
      <xdr:nvGrpSpPr>
        <xdr:cNvPr id="5" name="Grupo de ícones de envelope" descr="Envelope">
          <a:extLst>
            <a:ext uri="{FF2B5EF4-FFF2-40B4-BE49-F238E27FC236}">
              <a16:creationId xmlns:a16="http://schemas.microsoft.com/office/drawing/2014/main" id="{26794FA1-55A9-485B-981A-66CD733E7D40}"/>
            </a:ext>
          </a:extLst>
        </xdr:cNvPr>
        <xdr:cNvGrpSpPr>
          <a:grpSpLocks noChangeAspect="1"/>
        </xdr:cNvGrpSpPr>
      </xdr:nvGrpSpPr>
      <xdr:grpSpPr>
        <a:xfrm>
          <a:off x="7372350" y="2952750"/>
          <a:ext cx="212640" cy="180975"/>
          <a:chOff x="1847850" y="4562475"/>
          <a:chExt cx="447675" cy="381000"/>
        </a:xfrm>
        <a:solidFill>
          <a:schemeClr val="bg2">
            <a:lumMod val="50000"/>
          </a:schemeClr>
        </a:solidFill>
      </xdr:grpSpPr>
      <xdr:sp macro="" textlink="">
        <xdr:nvSpPr>
          <xdr:cNvPr id="6" name="Forma livre 16">
            <a:extLst>
              <a:ext uri="{FF2B5EF4-FFF2-40B4-BE49-F238E27FC236}">
                <a16:creationId xmlns:a16="http://schemas.microsoft.com/office/drawing/2014/main" id="{EB427DA8-28CB-44B2-82DD-8E968AFAB3C4}"/>
              </a:ext>
            </a:extLst>
          </xdr:cNvPr>
          <xdr:cNvSpPr>
            <a:spLocks/>
          </xdr:cNvSpPr>
        </xdr:nvSpPr>
        <xdr:spPr bwMode="auto">
          <a:xfrm>
            <a:off x="1847850" y="4695825"/>
            <a:ext cx="447675" cy="247650"/>
          </a:xfrm>
          <a:custGeom>
            <a:avLst/>
            <a:gdLst>
              <a:gd name="T0" fmla="*/ 6 w 517"/>
              <a:gd name="T1" fmla="*/ 0 h 280"/>
              <a:gd name="T2" fmla="*/ 218 w 517"/>
              <a:gd name="T3" fmla="*/ 172 h 280"/>
              <a:gd name="T4" fmla="*/ 218 w 517"/>
              <a:gd name="T5" fmla="*/ 173 h 280"/>
              <a:gd name="T6" fmla="*/ 230 w 517"/>
              <a:gd name="T7" fmla="*/ 180 h 280"/>
              <a:gd name="T8" fmla="*/ 245 w 517"/>
              <a:gd name="T9" fmla="*/ 184 h 280"/>
              <a:gd name="T10" fmla="*/ 259 w 517"/>
              <a:gd name="T11" fmla="*/ 186 h 280"/>
              <a:gd name="T12" fmla="*/ 273 w 517"/>
              <a:gd name="T13" fmla="*/ 184 h 280"/>
              <a:gd name="T14" fmla="*/ 287 w 517"/>
              <a:gd name="T15" fmla="*/ 179 h 280"/>
              <a:gd name="T16" fmla="*/ 300 w 517"/>
              <a:gd name="T17" fmla="*/ 172 h 280"/>
              <a:gd name="T18" fmla="*/ 300 w 517"/>
              <a:gd name="T19" fmla="*/ 171 h 280"/>
              <a:gd name="T20" fmla="*/ 379 w 517"/>
              <a:gd name="T21" fmla="*/ 108 h 280"/>
              <a:gd name="T22" fmla="*/ 492 w 517"/>
              <a:gd name="T23" fmla="*/ 16 h 280"/>
              <a:gd name="T24" fmla="*/ 511 w 517"/>
              <a:gd name="T25" fmla="*/ 0 h 280"/>
              <a:gd name="T26" fmla="*/ 515 w 517"/>
              <a:gd name="T27" fmla="*/ 11 h 280"/>
              <a:gd name="T28" fmla="*/ 516 w 517"/>
              <a:gd name="T29" fmla="*/ 21 h 280"/>
              <a:gd name="T30" fmla="*/ 517 w 517"/>
              <a:gd name="T31" fmla="*/ 232 h 280"/>
              <a:gd name="T32" fmla="*/ 515 w 517"/>
              <a:gd name="T33" fmla="*/ 246 h 280"/>
              <a:gd name="T34" fmla="*/ 508 w 517"/>
              <a:gd name="T35" fmla="*/ 259 h 280"/>
              <a:gd name="T36" fmla="*/ 373 w 517"/>
              <a:gd name="T37" fmla="*/ 158 h 280"/>
              <a:gd name="T38" fmla="*/ 371 w 517"/>
              <a:gd name="T39" fmla="*/ 157 h 280"/>
              <a:gd name="T40" fmla="*/ 368 w 517"/>
              <a:gd name="T41" fmla="*/ 156 h 280"/>
              <a:gd name="T42" fmla="*/ 366 w 517"/>
              <a:gd name="T43" fmla="*/ 157 h 280"/>
              <a:gd name="T44" fmla="*/ 364 w 517"/>
              <a:gd name="T45" fmla="*/ 159 h 280"/>
              <a:gd name="T46" fmla="*/ 362 w 517"/>
              <a:gd name="T47" fmla="*/ 163 h 280"/>
              <a:gd name="T48" fmla="*/ 362 w 517"/>
              <a:gd name="T49" fmla="*/ 165 h 280"/>
              <a:gd name="T50" fmla="*/ 363 w 517"/>
              <a:gd name="T51" fmla="*/ 168 h 280"/>
              <a:gd name="T52" fmla="*/ 365 w 517"/>
              <a:gd name="T53" fmla="*/ 170 h 280"/>
              <a:gd name="T54" fmla="*/ 499 w 517"/>
              <a:gd name="T55" fmla="*/ 269 h 280"/>
              <a:gd name="T56" fmla="*/ 485 w 517"/>
              <a:gd name="T57" fmla="*/ 277 h 280"/>
              <a:gd name="T58" fmla="*/ 468 w 517"/>
              <a:gd name="T59" fmla="*/ 280 h 280"/>
              <a:gd name="T60" fmla="*/ 49 w 517"/>
              <a:gd name="T61" fmla="*/ 280 h 280"/>
              <a:gd name="T62" fmla="*/ 33 w 517"/>
              <a:gd name="T63" fmla="*/ 278 h 280"/>
              <a:gd name="T64" fmla="*/ 20 w 517"/>
              <a:gd name="T65" fmla="*/ 270 h 280"/>
              <a:gd name="T66" fmla="*/ 153 w 517"/>
              <a:gd name="T67" fmla="*/ 170 h 280"/>
              <a:gd name="T68" fmla="*/ 155 w 517"/>
              <a:gd name="T69" fmla="*/ 168 h 280"/>
              <a:gd name="T70" fmla="*/ 156 w 517"/>
              <a:gd name="T71" fmla="*/ 165 h 280"/>
              <a:gd name="T72" fmla="*/ 156 w 517"/>
              <a:gd name="T73" fmla="*/ 163 h 280"/>
              <a:gd name="T74" fmla="*/ 155 w 517"/>
              <a:gd name="T75" fmla="*/ 159 h 280"/>
              <a:gd name="T76" fmla="*/ 153 w 517"/>
              <a:gd name="T77" fmla="*/ 157 h 280"/>
              <a:gd name="T78" fmla="*/ 150 w 517"/>
              <a:gd name="T79" fmla="*/ 156 h 280"/>
              <a:gd name="T80" fmla="*/ 148 w 517"/>
              <a:gd name="T81" fmla="*/ 157 h 280"/>
              <a:gd name="T82" fmla="*/ 145 w 517"/>
              <a:gd name="T83" fmla="*/ 158 h 280"/>
              <a:gd name="T84" fmla="*/ 10 w 517"/>
              <a:gd name="T85" fmla="*/ 260 h 280"/>
              <a:gd name="T86" fmla="*/ 2 w 517"/>
              <a:gd name="T87" fmla="*/ 247 h 280"/>
              <a:gd name="T88" fmla="*/ 0 w 517"/>
              <a:gd name="T89" fmla="*/ 232 h 280"/>
              <a:gd name="T90" fmla="*/ 0 w 517"/>
              <a:gd name="T91" fmla="*/ 228 h 280"/>
              <a:gd name="T92" fmla="*/ 0 w 517"/>
              <a:gd name="T93" fmla="*/ 218 h 280"/>
              <a:gd name="T94" fmla="*/ 0 w 517"/>
              <a:gd name="T95" fmla="*/ 203 h 280"/>
              <a:gd name="T96" fmla="*/ 0 w 517"/>
              <a:gd name="T97" fmla="*/ 184 h 280"/>
              <a:gd name="T98" fmla="*/ 0 w 517"/>
              <a:gd name="T99" fmla="*/ 163 h 280"/>
              <a:gd name="T100" fmla="*/ 0 w 517"/>
              <a:gd name="T101" fmla="*/ 139 h 280"/>
              <a:gd name="T102" fmla="*/ 0 w 517"/>
              <a:gd name="T103" fmla="*/ 115 h 280"/>
              <a:gd name="T104" fmla="*/ 0 w 517"/>
              <a:gd name="T105" fmla="*/ 91 h 280"/>
              <a:gd name="T106" fmla="*/ 0 w 517"/>
              <a:gd name="T107" fmla="*/ 69 h 280"/>
              <a:gd name="T108" fmla="*/ 0 w 517"/>
              <a:gd name="T109" fmla="*/ 50 h 280"/>
              <a:gd name="T110" fmla="*/ 0 w 517"/>
              <a:gd name="T111" fmla="*/ 35 h 280"/>
              <a:gd name="T112" fmla="*/ 0 w 517"/>
              <a:gd name="T113" fmla="*/ 25 h 280"/>
              <a:gd name="T114" fmla="*/ 0 w 517"/>
              <a:gd name="T115" fmla="*/ 21 h 280"/>
              <a:gd name="T116" fmla="*/ 1 w 517"/>
              <a:gd name="T117" fmla="*/ 10 h 280"/>
              <a:gd name="T118" fmla="*/ 6 w 517"/>
              <a:gd name="T119" fmla="*/ 0 h 2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517" h="280">
                <a:moveTo>
                  <a:pt x="6" y="0"/>
                </a:moveTo>
                <a:lnTo>
                  <a:pt x="218" y="172"/>
                </a:lnTo>
                <a:lnTo>
                  <a:pt x="218" y="173"/>
                </a:lnTo>
                <a:lnTo>
                  <a:pt x="230" y="180"/>
                </a:lnTo>
                <a:lnTo>
                  <a:pt x="245" y="184"/>
                </a:lnTo>
                <a:lnTo>
                  <a:pt x="259" y="186"/>
                </a:lnTo>
                <a:lnTo>
                  <a:pt x="273" y="184"/>
                </a:lnTo>
                <a:lnTo>
                  <a:pt x="287" y="179"/>
                </a:lnTo>
                <a:lnTo>
                  <a:pt x="300" y="172"/>
                </a:lnTo>
                <a:lnTo>
                  <a:pt x="300" y="171"/>
                </a:lnTo>
                <a:lnTo>
                  <a:pt x="379" y="108"/>
                </a:lnTo>
                <a:lnTo>
                  <a:pt x="492" y="16"/>
                </a:lnTo>
                <a:lnTo>
                  <a:pt x="511" y="0"/>
                </a:lnTo>
                <a:lnTo>
                  <a:pt x="515" y="11"/>
                </a:lnTo>
                <a:lnTo>
                  <a:pt x="516" y="21"/>
                </a:lnTo>
                <a:lnTo>
                  <a:pt x="517" y="232"/>
                </a:lnTo>
                <a:lnTo>
                  <a:pt x="515" y="246"/>
                </a:lnTo>
                <a:lnTo>
                  <a:pt x="508" y="259"/>
                </a:lnTo>
                <a:lnTo>
                  <a:pt x="373" y="158"/>
                </a:lnTo>
                <a:lnTo>
                  <a:pt x="371" y="157"/>
                </a:lnTo>
                <a:lnTo>
                  <a:pt x="368" y="156"/>
                </a:lnTo>
                <a:lnTo>
                  <a:pt x="366" y="157"/>
                </a:lnTo>
                <a:lnTo>
                  <a:pt x="364" y="159"/>
                </a:lnTo>
                <a:lnTo>
                  <a:pt x="362" y="163"/>
                </a:lnTo>
                <a:lnTo>
                  <a:pt x="362" y="165"/>
                </a:lnTo>
                <a:lnTo>
                  <a:pt x="363" y="168"/>
                </a:lnTo>
                <a:lnTo>
                  <a:pt x="365" y="170"/>
                </a:lnTo>
                <a:lnTo>
                  <a:pt x="499" y="269"/>
                </a:lnTo>
                <a:lnTo>
                  <a:pt x="485" y="277"/>
                </a:lnTo>
                <a:lnTo>
                  <a:pt x="468" y="280"/>
                </a:lnTo>
                <a:lnTo>
                  <a:pt x="49" y="280"/>
                </a:lnTo>
                <a:lnTo>
                  <a:pt x="33" y="278"/>
                </a:lnTo>
                <a:lnTo>
                  <a:pt x="20" y="270"/>
                </a:lnTo>
                <a:lnTo>
                  <a:pt x="153" y="170"/>
                </a:lnTo>
                <a:lnTo>
                  <a:pt x="155" y="168"/>
                </a:lnTo>
                <a:lnTo>
                  <a:pt x="156" y="165"/>
                </a:lnTo>
                <a:lnTo>
                  <a:pt x="156" y="163"/>
                </a:lnTo>
                <a:lnTo>
                  <a:pt x="155" y="159"/>
                </a:lnTo>
                <a:lnTo>
                  <a:pt x="153" y="157"/>
                </a:lnTo>
                <a:lnTo>
                  <a:pt x="150" y="156"/>
                </a:lnTo>
                <a:lnTo>
                  <a:pt x="148" y="157"/>
                </a:lnTo>
                <a:lnTo>
                  <a:pt x="145" y="158"/>
                </a:lnTo>
                <a:lnTo>
                  <a:pt x="10" y="260"/>
                </a:lnTo>
                <a:lnTo>
                  <a:pt x="2" y="247"/>
                </a:lnTo>
                <a:lnTo>
                  <a:pt x="0" y="232"/>
                </a:lnTo>
                <a:lnTo>
                  <a:pt x="0" y="228"/>
                </a:lnTo>
                <a:lnTo>
                  <a:pt x="0" y="218"/>
                </a:lnTo>
                <a:lnTo>
                  <a:pt x="0" y="203"/>
                </a:lnTo>
                <a:lnTo>
                  <a:pt x="0" y="184"/>
                </a:lnTo>
                <a:lnTo>
                  <a:pt x="0" y="163"/>
                </a:lnTo>
                <a:lnTo>
                  <a:pt x="0" y="139"/>
                </a:lnTo>
                <a:lnTo>
                  <a:pt x="0" y="115"/>
                </a:lnTo>
                <a:lnTo>
                  <a:pt x="0" y="91"/>
                </a:lnTo>
                <a:lnTo>
                  <a:pt x="0" y="69"/>
                </a:lnTo>
                <a:lnTo>
                  <a:pt x="0" y="50"/>
                </a:lnTo>
                <a:lnTo>
                  <a:pt x="0" y="35"/>
                </a:lnTo>
                <a:lnTo>
                  <a:pt x="0" y="25"/>
                </a:lnTo>
                <a:lnTo>
                  <a:pt x="0" y="21"/>
                </a:lnTo>
                <a:lnTo>
                  <a:pt x="1" y="10"/>
                </a:lnTo>
                <a:lnTo>
                  <a:pt x="6" y="0"/>
                </a:lnTo>
                <a:close/>
              </a:path>
            </a:pathLst>
          </a:custGeom>
          <a:noFill/>
          <a:ln w="9525" cap="flat" cmpd="sng" algn="ctr">
            <a:solidFill>
              <a:schemeClr val="accent3"/>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sp>
      <xdr:sp macro="" textlink="">
        <xdr:nvSpPr>
          <xdr:cNvPr id="7" name="Forma Livre 17">
            <a:extLst>
              <a:ext uri="{FF2B5EF4-FFF2-40B4-BE49-F238E27FC236}">
                <a16:creationId xmlns:a16="http://schemas.microsoft.com/office/drawing/2014/main" id="{29AE8E47-3A43-4C78-8BFB-0C75936EEAE0}"/>
              </a:ext>
            </a:extLst>
          </xdr:cNvPr>
          <xdr:cNvSpPr>
            <a:spLocks/>
          </xdr:cNvSpPr>
        </xdr:nvSpPr>
        <xdr:spPr bwMode="auto">
          <a:xfrm>
            <a:off x="1866900" y="4562475"/>
            <a:ext cx="409575" cy="209550"/>
          </a:xfrm>
          <a:custGeom>
            <a:avLst/>
            <a:gdLst>
              <a:gd name="T0" fmla="*/ 234 w 467"/>
              <a:gd name="T1" fmla="*/ 0 h 245"/>
              <a:gd name="T2" fmla="*/ 248 w 467"/>
              <a:gd name="T3" fmla="*/ 1 h 245"/>
              <a:gd name="T4" fmla="*/ 261 w 467"/>
              <a:gd name="T5" fmla="*/ 6 h 245"/>
              <a:gd name="T6" fmla="*/ 274 w 467"/>
              <a:gd name="T7" fmla="*/ 13 h 245"/>
              <a:gd name="T8" fmla="*/ 467 w 467"/>
              <a:gd name="T9" fmla="*/ 139 h 245"/>
              <a:gd name="T10" fmla="*/ 397 w 467"/>
              <a:gd name="T11" fmla="*/ 195 h 245"/>
              <a:gd name="T12" fmla="*/ 310 w 467"/>
              <a:gd name="T13" fmla="*/ 127 h 245"/>
              <a:gd name="T14" fmla="*/ 310 w 467"/>
              <a:gd name="T15" fmla="*/ 191 h 245"/>
              <a:gd name="T16" fmla="*/ 312 w 467"/>
              <a:gd name="T17" fmla="*/ 202 h 245"/>
              <a:gd name="T18" fmla="*/ 318 w 467"/>
              <a:gd name="T19" fmla="*/ 210 h 245"/>
              <a:gd name="T20" fmla="*/ 326 w 467"/>
              <a:gd name="T21" fmla="*/ 215 h 245"/>
              <a:gd name="T22" fmla="*/ 336 w 467"/>
              <a:gd name="T23" fmla="*/ 217 h 245"/>
              <a:gd name="T24" fmla="*/ 371 w 467"/>
              <a:gd name="T25" fmla="*/ 217 h 245"/>
              <a:gd name="T26" fmla="*/ 354 w 467"/>
              <a:gd name="T27" fmla="*/ 231 h 245"/>
              <a:gd name="T28" fmla="*/ 337 w 467"/>
              <a:gd name="T29" fmla="*/ 245 h 245"/>
              <a:gd name="T30" fmla="*/ 336 w 467"/>
              <a:gd name="T31" fmla="*/ 245 h 245"/>
              <a:gd name="T32" fmla="*/ 319 w 467"/>
              <a:gd name="T33" fmla="*/ 242 h 245"/>
              <a:gd name="T34" fmla="*/ 304 w 467"/>
              <a:gd name="T35" fmla="*/ 234 h 245"/>
              <a:gd name="T36" fmla="*/ 293 w 467"/>
              <a:gd name="T37" fmla="*/ 223 h 245"/>
              <a:gd name="T38" fmla="*/ 285 w 467"/>
              <a:gd name="T39" fmla="*/ 209 h 245"/>
              <a:gd name="T40" fmla="*/ 283 w 467"/>
              <a:gd name="T41" fmla="*/ 191 h 245"/>
              <a:gd name="T42" fmla="*/ 283 w 467"/>
              <a:gd name="T43" fmla="*/ 124 h 245"/>
              <a:gd name="T44" fmla="*/ 106 w 467"/>
              <a:gd name="T45" fmla="*/ 124 h 245"/>
              <a:gd name="T46" fmla="*/ 91 w 467"/>
              <a:gd name="T47" fmla="*/ 127 h 245"/>
              <a:gd name="T48" fmla="*/ 80 w 467"/>
              <a:gd name="T49" fmla="*/ 134 h 245"/>
              <a:gd name="T50" fmla="*/ 73 w 467"/>
              <a:gd name="T51" fmla="*/ 146 h 245"/>
              <a:gd name="T52" fmla="*/ 70 w 467"/>
              <a:gd name="T53" fmla="*/ 160 h 245"/>
              <a:gd name="T54" fmla="*/ 70 w 467"/>
              <a:gd name="T55" fmla="*/ 195 h 245"/>
              <a:gd name="T56" fmla="*/ 0 w 467"/>
              <a:gd name="T57" fmla="*/ 139 h 245"/>
              <a:gd name="T58" fmla="*/ 194 w 467"/>
              <a:gd name="T59" fmla="*/ 12 h 245"/>
              <a:gd name="T60" fmla="*/ 194 w 467"/>
              <a:gd name="T61" fmla="*/ 12 h 245"/>
              <a:gd name="T62" fmla="*/ 206 w 467"/>
              <a:gd name="T63" fmla="*/ 5 h 245"/>
              <a:gd name="T64" fmla="*/ 220 w 467"/>
              <a:gd name="T65" fmla="*/ 1 h 245"/>
              <a:gd name="T66" fmla="*/ 234 w 467"/>
              <a:gd name="T67" fmla="*/ 0 h 2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467" h="245">
                <a:moveTo>
                  <a:pt x="234" y="0"/>
                </a:moveTo>
                <a:lnTo>
                  <a:pt x="248" y="1"/>
                </a:lnTo>
                <a:lnTo>
                  <a:pt x="261" y="6"/>
                </a:lnTo>
                <a:lnTo>
                  <a:pt x="274" y="13"/>
                </a:lnTo>
                <a:lnTo>
                  <a:pt x="467" y="139"/>
                </a:lnTo>
                <a:lnTo>
                  <a:pt x="397" y="195"/>
                </a:lnTo>
                <a:lnTo>
                  <a:pt x="310" y="127"/>
                </a:lnTo>
                <a:lnTo>
                  <a:pt x="310" y="191"/>
                </a:lnTo>
                <a:lnTo>
                  <a:pt x="312" y="202"/>
                </a:lnTo>
                <a:lnTo>
                  <a:pt x="318" y="210"/>
                </a:lnTo>
                <a:lnTo>
                  <a:pt x="326" y="215"/>
                </a:lnTo>
                <a:lnTo>
                  <a:pt x="336" y="217"/>
                </a:lnTo>
                <a:lnTo>
                  <a:pt x="371" y="217"/>
                </a:lnTo>
                <a:lnTo>
                  <a:pt x="354" y="231"/>
                </a:lnTo>
                <a:lnTo>
                  <a:pt x="337" y="245"/>
                </a:lnTo>
                <a:lnTo>
                  <a:pt x="336" y="245"/>
                </a:lnTo>
                <a:lnTo>
                  <a:pt x="319" y="242"/>
                </a:lnTo>
                <a:lnTo>
                  <a:pt x="304" y="234"/>
                </a:lnTo>
                <a:lnTo>
                  <a:pt x="293" y="223"/>
                </a:lnTo>
                <a:lnTo>
                  <a:pt x="285" y="209"/>
                </a:lnTo>
                <a:lnTo>
                  <a:pt x="283" y="191"/>
                </a:lnTo>
                <a:lnTo>
                  <a:pt x="283" y="124"/>
                </a:lnTo>
                <a:lnTo>
                  <a:pt x="106" y="124"/>
                </a:lnTo>
                <a:lnTo>
                  <a:pt x="91" y="127"/>
                </a:lnTo>
                <a:lnTo>
                  <a:pt x="80" y="134"/>
                </a:lnTo>
                <a:lnTo>
                  <a:pt x="73" y="146"/>
                </a:lnTo>
                <a:lnTo>
                  <a:pt x="70" y="160"/>
                </a:lnTo>
                <a:lnTo>
                  <a:pt x="70" y="195"/>
                </a:lnTo>
                <a:lnTo>
                  <a:pt x="0" y="139"/>
                </a:lnTo>
                <a:lnTo>
                  <a:pt x="194" y="12"/>
                </a:lnTo>
                <a:lnTo>
                  <a:pt x="194" y="12"/>
                </a:lnTo>
                <a:lnTo>
                  <a:pt x="206" y="5"/>
                </a:lnTo>
                <a:lnTo>
                  <a:pt x="220" y="1"/>
                </a:lnTo>
                <a:lnTo>
                  <a:pt x="234" y="0"/>
                </a:lnTo>
                <a:close/>
              </a:path>
            </a:pathLst>
          </a:custGeom>
          <a:noFill/>
          <a:ln w="9525" cap="flat" cmpd="sng" algn="ctr">
            <a:solidFill>
              <a:schemeClr val="accent3"/>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sp>
    </xdr:grpSp>
    <xdr:clientData/>
  </xdr:twoCellAnchor>
  <xdr:twoCellAnchor editAs="oneCell">
    <xdr:from>
      <xdr:col>2</xdr:col>
      <xdr:colOff>57151</xdr:colOff>
      <xdr:row>7</xdr:row>
      <xdr:rowOff>47625</xdr:rowOff>
    </xdr:from>
    <xdr:to>
      <xdr:col>2</xdr:col>
      <xdr:colOff>304801</xdr:colOff>
      <xdr:row>7</xdr:row>
      <xdr:rowOff>295275</xdr:rowOff>
    </xdr:to>
    <xdr:pic>
      <xdr:nvPicPr>
        <xdr:cNvPr id="12" name="Gráfico 11" descr="Edifício com preenchimento sólido">
          <a:extLst>
            <a:ext uri="{FF2B5EF4-FFF2-40B4-BE49-F238E27FC236}">
              <a16:creationId xmlns:a16="http://schemas.microsoft.com/office/drawing/2014/main" id="{1410A5E0-0C07-4566-B83B-8A7821E933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1" y="2667000"/>
          <a:ext cx="247650" cy="247650"/>
        </a:xfrm>
        <a:prstGeom prst="rect">
          <a:avLst/>
        </a:prstGeom>
      </xdr:spPr>
    </xdr:pic>
    <xdr:clientData/>
  </xdr:twoCellAnchor>
  <xdr:twoCellAnchor editAs="oneCell">
    <xdr:from>
      <xdr:col>5</xdr:col>
      <xdr:colOff>95250</xdr:colOff>
      <xdr:row>8</xdr:row>
      <xdr:rowOff>123824</xdr:rowOff>
    </xdr:from>
    <xdr:to>
      <xdr:col>5</xdr:col>
      <xdr:colOff>295275</xdr:colOff>
      <xdr:row>8</xdr:row>
      <xdr:rowOff>323849</xdr:rowOff>
    </xdr:to>
    <xdr:pic>
      <xdr:nvPicPr>
        <xdr:cNvPr id="14" name="Imagem 13">
          <a:extLst>
            <a:ext uri="{FF2B5EF4-FFF2-40B4-BE49-F238E27FC236}">
              <a16:creationId xmlns:a16="http://schemas.microsoft.com/office/drawing/2014/main" id="{037253FD-5ABF-4B61-84DD-0FCA765F5A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91400" y="3371849"/>
          <a:ext cx="200025" cy="200025"/>
        </a:xfrm>
        <a:prstGeom prst="rect">
          <a:avLst/>
        </a:prstGeom>
      </xdr:spPr>
    </xdr:pic>
    <xdr:clientData/>
  </xdr:twoCellAnchor>
  <xdr:twoCellAnchor editAs="oneCell">
    <xdr:from>
      <xdr:col>3</xdr:col>
      <xdr:colOff>123825</xdr:colOff>
      <xdr:row>7</xdr:row>
      <xdr:rowOff>95250</xdr:rowOff>
    </xdr:from>
    <xdr:to>
      <xdr:col>3</xdr:col>
      <xdr:colOff>371475</xdr:colOff>
      <xdr:row>7</xdr:row>
      <xdr:rowOff>342900</xdr:rowOff>
    </xdr:to>
    <xdr:pic>
      <xdr:nvPicPr>
        <xdr:cNvPr id="16" name="Imagem 15">
          <a:extLst>
            <a:ext uri="{FF2B5EF4-FFF2-40B4-BE49-F238E27FC236}">
              <a16:creationId xmlns:a16="http://schemas.microsoft.com/office/drawing/2014/main" id="{BE699B30-F90C-47E9-9FAC-BA50BD17791B}"/>
            </a:ext>
          </a:extLst>
        </xdr:cNvPr>
        <xdr:cNvPicPr>
          <a:picLocks noChangeAspect="1"/>
        </xdr:cNvPicPr>
      </xdr:nvPicPr>
      <xdr:blipFill>
        <a:blip xmlns:r="http://schemas.openxmlformats.org/officeDocument/2006/relationships" r:embed="rId6">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3590925" y="2714625"/>
          <a:ext cx="247650" cy="247650"/>
        </a:xfrm>
        <a:prstGeom prst="rect">
          <a:avLst/>
        </a:prstGeom>
      </xdr:spPr>
    </xdr:pic>
    <xdr:clientData/>
  </xdr:twoCellAnchor>
  <xdr:twoCellAnchor editAs="oneCell">
    <xdr:from>
      <xdr:col>9</xdr:col>
      <xdr:colOff>28575</xdr:colOff>
      <xdr:row>3</xdr:row>
      <xdr:rowOff>76200</xdr:rowOff>
    </xdr:from>
    <xdr:to>
      <xdr:col>9</xdr:col>
      <xdr:colOff>323850</xdr:colOff>
      <xdr:row>3</xdr:row>
      <xdr:rowOff>371475</xdr:rowOff>
    </xdr:to>
    <xdr:pic>
      <xdr:nvPicPr>
        <xdr:cNvPr id="20" name="Imagem 19">
          <a:extLst>
            <a:ext uri="{FF2B5EF4-FFF2-40B4-BE49-F238E27FC236}">
              <a16:creationId xmlns:a16="http://schemas.microsoft.com/office/drawing/2014/main" id="{E08ABB38-70B7-4504-8FA3-FBDDC7EEA2ED}"/>
            </a:ext>
          </a:extLst>
        </xdr:cNvPr>
        <xdr:cNvPicPr>
          <a:picLocks noChangeAspect="1"/>
        </xdr:cNvPicPr>
      </xdr:nvPicPr>
      <xdr:blipFill>
        <a:blip xmlns:r="http://schemas.openxmlformats.org/officeDocument/2006/relationships" r:embed="rId7">
          <a:lum bright="70000" contrast="-70000"/>
          <a:extLst>
            <a:ext uri="{28A0092B-C50C-407E-A947-70E740481C1C}">
              <a14:useLocalDpi xmlns:a14="http://schemas.microsoft.com/office/drawing/2010/main" val="0"/>
            </a:ext>
          </a:extLst>
        </a:blip>
        <a:stretch>
          <a:fillRect/>
        </a:stretch>
      </xdr:blipFill>
      <xdr:spPr>
        <a:xfrm>
          <a:off x="11344275" y="1581150"/>
          <a:ext cx="295275" cy="295275"/>
        </a:xfrm>
        <a:prstGeom prst="rect">
          <a:avLst/>
        </a:prstGeom>
      </xdr:spPr>
    </xdr:pic>
    <xdr:clientData/>
  </xdr:twoCellAnchor>
  <xdr:twoCellAnchor editAs="oneCell">
    <xdr:from>
      <xdr:col>5</xdr:col>
      <xdr:colOff>333375</xdr:colOff>
      <xdr:row>0</xdr:row>
      <xdr:rowOff>66675</xdr:rowOff>
    </xdr:from>
    <xdr:to>
      <xdr:col>5</xdr:col>
      <xdr:colOff>914400</xdr:colOff>
      <xdr:row>0</xdr:row>
      <xdr:rowOff>647700</xdr:rowOff>
    </xdr:to>
    <xdr:pic>
      <xdr:nvPicPr>
        <xdr:cNvPr id="13" name="Imagem 12">
          <a:extLst>
            <a:ext uri="{FF2B5EF4-FFF2-40B4-BE49-F238E27FC236}">
              <a16:creationId xmlns:a16="http://schemas.microsoft.com/office/drawing/2014/main" id="{8E454A07-CA99-4955-8A84-1932A275C62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629525" y="66675"/>
          <a:ext cx="581025" cy="581025"/>
        </a:xfrm>
        <a:prstGeom prst="rect">
          <a:avLst/>
        </a:prstGeom>
      </xdr:spPr>
    </xdr:pic>
    <xdr:clientData/>
  </xdr:twoCellAnchor>
  <xdr:oneCellAnchor>
    <xdr:from>
      <xdr:col>5</xdr:col>
      <xdr:colOff>1019175</xdr:colOff>
      <xdr:row>0</xdr:row>
      <xdr:rowOff>76200</xdr:rowOff>
    </xdr:from>
    <xdr:ext cx="2047875" cy="609013"/>
    <xdr:sp macro="" textlink="">
      <xdr:nvSpPr>
        <xdr:cNvPr id="15" name="CaixaDeTexto 14">
          <a:extLst>
            <a:ext uri="{FF2B5EF4-FFF2-40B4-BE49-F238E27FC236}">
              <a16:creationId xmlns:a16="http://schemas.microsoft.com/office/drawing/2014/main" id="{E3065988-B35D-4C46-B7EC-782850FF45B0}"/>
            </a:ext>
          </a:extLst>
        </xdr:cNvPr>
        <xdr:cNvSpPr txBox="1"/>
      </xdr:nvSpPr>
      <xdr:spPr>
        <a:xfrm>
          <a:off x="8315325" y="76200"/>
          <a:ext cx="2047875" cy="609013"/>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a:solidFill>
                <a:srgbClr val="FF0000"/>
              </a:solidFill>
            </a:rPr>
            <a:t>* Atenção preenchimento do formulário tem que ser espelho da Nota Fiscal</a:t>
          </a:r>
        </a:p>
      </xdr:txBody>
    </xdr:sp>
    <xdr:clientData/>
  </xdr:oneCellAnchor>
  <xdr:twoCellAnchor editAs="oneCell">
    <xdr:from>
      <xdr:col>8</xdr:col>
      <xdr:colOff>76201</xdr:colOff>
      <xdr:row>0</xdr:row>
      <xdr:rowOff>762001</xdr:rowOff>
    </xdr:from>
    <xdr:to>
      <xdr:col>8</xdr:col>
      <xdr:colOff>476251</xdr:colOff>
      <xdr:row>2</xdr:row>
      <xdr:rowOff>28576</xdr:rowOff>
    </xdr:to>
    <xdr:pic>
      <xdr:nvPicPr>
        <xdr:cNvPr id="18" name="Imagem 17">
          <a:extLst>
            <a:ext uri="{FF2B5EF4-FFF2-40B4-BE49-F238E27FC236}">
              <a16:creationId xmlns:a16="http://schemas.microsoft.com/office/drawing/2014/main" id="{B88A2A9A-7A2A-4EBA-97D2-4597525EA76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630026" y="762001"/>
          <a:ext cx="400050" cy="400050"/>
        </a:xfrm>
        <a:prstGeom prst="rect">
          <a:avLst/>
        </a:prstGeom>
      </xdr:spPr>
    </xdr:pic>
    <xdr:clientData/>
  </xdr:twoCellAnchor>
  <xdr:twoCellAnchor editAs="oneCell">
    <xdr:from>
      <xdr:col>4</xdr:col>
      <xdr:colOff>647700</xdr:colOff>
      <xdr:row>0</xdr:row>
      <xdr:rowOff>0</xdr:rowOff>
    </xdr:from>
    <xdr:to>
      <xdr:col>4</xdr:col>
      <xdr:colOff>1276350</xdr:colOff>
      <xdr:row>0</xdr:row>
      <xdr:rowOff>628650</xdr:rowOff>
    </xdr:to>
    <xdr:pic macro="[0]!limpar_daddos">
      <xdr:nvPicPr>
        <xdr:cNvPr id="8" name="Imagem 7">
          <a:extLst>
            <a:ext uri="{FF2B5EF4-FFF2-40B4-BE49-F238E27FC236}">
              <a16:creationId xmlns:a16="http://schemas.microsoft.com/office/drawing/2014/main" id="{37BBF4FC-FF30-47BE-B4F7-2C422516123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115050" y="0"/>
          <a:ext cx="628650" cy="628650"/>
        </a:xfrm>
        <a:prstGeom prst="rect">
          <a:avLst/>
        </a:prstGeom>
      </xdr:spPr>
    </xdr:pic>
    <xdr:clientData/>
  </xdr:twoCellAnchor>
  <xdr:twoCellAnchor editAs="oneCell">
    <xdr:from>
      <xdr:col>2</xdr:col>
      <xdr:colOff>942976</xdr:colOff>
      <xdr:row>0</xdr:row>
      <xdr:rowOff>57151</xdr:rowOff>
    </xdr:from>
    <xdr:to>
      <xdr:col>2</xdr:col>
      <xdr:colOff>1609726</xdr:colOff>
      <xdr:row>0</xdr:row>
      <xdr:rowOff>723901</xdr:rowOff>
    </xdr:to>
    <xdr:pic>
      <xdr:nvPicPr>
        <xdr:cNvPr id="9" name="Imagem 8">
          <a:hlinkClick xmlns:r="http://schemas.openxmlformats.org/officeDocument/2006/relationships" r:id="rId10"/>
          <a:extLst>
            <a:ext uri="{FF2B5EF4-FFF2-40B4-BE49-F238E27FC236}">
              <a16:creationId xmlns:a16="http://schemas.microsoft.com/office/drawing/2014/main" id="{AE325B95-3EA9-4684-BBD7-8378F59CAB9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409826" y="57151"/>
          <a:ext cx="666750" cy="666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0</xdr:row>
      <xdr:rowOff>123825</xdr:rowOff>
    </xdr:from>
    <xdr:to>
      <xdr:col>4</xdr:col>
      <xdr:colOff>38615</xdr:colOff>
      <xdr:row>2</xdr:row>
      <xdr:rowOff>177479</xdr:rowOff>
    </xdr:to>
    <xdr:pic>
      <xdr:nvPicPr>
        <xdr:cNvPr id="2" name="Picture 2">
          <a:extLst>
            <a:ext uri="{FF2B5EF4-FFF2-40B4-BE49-F238E27FC236}">
              <a16:creationId xmlns:a16="http://schemas.microsoft.com/office/drawing/2014/main" id="{174A3927-C5F5-4623-AADD-1DDFDB22393D}"/>
            </a:ext>
          </a:extLst>
        </xdr:cNvPr>
        <xdr:cNvPicPr>
          <a:picLocks noChangeAspect="1"/>
        </xdr:cNvPicPr>
      </xdr:nvPicPr>
      <xdr:blipFill>
        <a:blip xmlns:r="http://schemas.openxmlformats.org/officeDocument/2006/relationships" r:embed="rId1"/>
        <a:stretch>
          <a:fillRect/>
        </a:stretch>
      </xdr:blipFill>
      <xdr:spPr>
        <a:xfrm>
          <a:off x="361950" y="123825"/>
          <a:ext cx="1829315" cy="434654"/>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namedSheetView name="Exibição 1" id="{12B24ABD-1636-48FF-9F5F-AF2C266608D0}"/>
</namedSheetView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9/04/relationships/namedSheetView" Target="../namedSheetViews/namedSheetView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F26C2-0553-4E54-9F70-AC4054E0EA4B}">
  <sheetPr codeName="Planilha1"/>
  <dimension ref="A1:U72"/>
  <sheetViews>
    <sheetView showGridLines="0" tabSelected="1" zoomScaleNormal="100" workbookViewId="0">
      <selection activeCell="C3" sqref="C3"/>
    </sheetView>
  </sheetViews>
  <sheetFormatPr defaultRowHeight="15"/>
  <cols>
    <col min="1" max="1" width="3.140625" customWidth="1"/>
    <col min="2" max="2" width="18.85546875" style="43" customWidth="1"/>
    <col min="3" max="3" width="29.140625" style="43" customWidth="1"/>
    <col min="4" max="4" width="31.5703125" customWidth="1"/>
    <col min="5" max="5" width="26.140625" customWidth="1"/>
    <col min="6" max="6" width="21.85546875" customWidth="1"/>
    <col min="7" max="7" width="13.28515625" bestFit="1" customWidth="1"/>
    <col min="8" max="8" width="17" customWidth="1"/>
    <col min="9" max="9" width="24.7109375" customWidth="1"/>
    <col min="10" max="10" width="27.42578125" customWidth="1"/>
    <col min="11" max="11" width="12.28515625" style="127" bestFit="1" customWidth="1"/>
    <col min="12" max="12" width="12.28515625" style="43" customWidth="1"/>
    <col min="13" max="13" width="9.140625" style="20"/>
    <col min="14" max="14" width="11.5703125" style="21" bestFit="1" customWidth="1"/>
    <col min="15" max="15" width="9.140625" style="128"/>
    <col min="16" max="17" width="14.28515625" style="128" customWidth="1"/>
    <col min="18" max="18" width="10.85546875" style="21" customWidth="1"/>
    <col min="20" max="20" width="17.7109375" customWidth="1"/>
    <col min="21" max="21" width="31.42578125" customWidth="1"/>
  </cols>
  <sheetData>
    <row r="1" spans="2:18" ht="62.25" customHeight="1">
      <c r="D1" s="34" t="s">
        <v>131</v>
      </c>
      <c r="E1" s="34" t="s">
        <v>1359</v>
      </c>
      <c r="K1"/>
      <c r="M1"/>
      <c r="N1"/>
      <c r="O1" s="43"/>
      <c r="P1" s="43"/>
      <c r="Q1" s="43"/>
      <c r="R1"/>
    </row>
    <row r="2" spans="2:18" ht="27" customHeight="1">
      <c r="B2" s="150" t="s">
        <v>109</v>
      </c>
      <c r="C2" s="151"/>
      <c r="D2" s="151"/>
      <c r="E2" s="151"/>
      <c r="F2" s="151"/>
      <c r="G2" s="152"/>
      <c r="I2" s="146" t="s">
        <v>783</v>
      </c>
      <c r="J2" s="147"/>
      <c r="K2"/>
      <c r="M2"/>
      <c r="N2"/>
      <c r="O2" s="43"/>
      <c r="P2" s="43"/>
      <c r="Q2" s="43"/>
      <c r="R2"/>
    </row>
    <row r="3" spans="2:18" ht="29.25" customHeight="1" thickBot="1">
      <c r="C3" s="35" t="s">
        <v>2013</v>
      </c>
      <c r="D3" s="164" t="s">
        <v>2014</v>
      </c>
      <c r="E3" s="165"/>
      <c r="F3" s="157" t="s">
        <v>135</v>
      </c>
      <c r="G3" s="158"/>
      <c r="I3" s="160" t="s">
        <v>2020</v>
      </c>
      <c r="J3" s="161"/>
      <c r="K3"/>
      <c r="M3"/>
      <c r="N3"/>
      <c r="O3" s="43"/>
      <c r="P3" s="43"/>
      <c r="Q3" s="43"/>
      <c r="R3"/>
    </row>
    <row r="4" spans="2:18" s="4" customFormat="1" ht="33" customHeight="1" thickTop="1">
      <c r="B4" s="5" t="s">
        <v>97</v>
      </c>
      <c r="C4" s="125"/>
      <c r="D4" s="162" t="str">
        <f>"PLANTA:  "&amp;_xlfn.XLOOKUP(C4,Fliais!C:C,Fliais!C:C)&amp;
" ENDEREÇO:  "&amp;_xlfn.XLOOKUP(C4,Fliais!C:C,Fliais!G:G)&amp;
" UF:  "&amp;_xlfn.XLOOKUP(C4,Fliais!C:C,Fliais!E:E) &amp;
" CEP:  "&amp; _xlfn.XLOOKUP(C4,Fliais!C:C,Fliais!H:H)</f>
        <v xml:space="preserve">PLANTA:   ENDEREÇO:   UF:   CEP:  </v>
      </c>
      <c r="E4" s="163"/>
      <c r="F4" s="159"/>
      <c r="G4" s="159"/>
      <c r="I4" s="9" t="s">
        <v>128</v>
      </c>
      <c r="J4" s="37"/>
      <c r="K4"/>
      <c r="L4" s="43"/>
    </row>
    <row r="5" spans="2:18" ht="26.25" customHeight="1">
      <c r="F5" s="26"/>
      <c r="I5" s="10" t="s">
        <v>129</v>
      </c>
      <c r="J5" s="38"/>
      <c r="K5"/>
      <c r="M5"/>
      <c r="N5"/>
      <c r="O5" s="43"/>
      <c r="P5" s="43"/>
      <c r="Q5" s="43"/>
      <c r="R5"/>
    </row>
    <row r="6" spans="2:18" ht="24.75" customHeight="1">
      <c r="B6" s="154" t="s">
        <v>108</v>
      </c>
      <c r="C6" s="154"/>
      <c r="D6" s="154"/>
      <c r="E6" s="154"/>
      <c r="F6" s="154"/>
      <c r="G6" s="154"/>
      <c r="I6" s="10" t="s">
        <v>130</v>
      </c>
      <c r="J6" s="123"/>
      <c r="K6"/>
      <c r="M6"/>
      <c r="N6"/>
      <c r="O6" s="43"/>
      <c r="P6" s="43"/>
      <c r="Q6" s="43"/>
      <c r="R6"/>
    </row>
    <row r="7" spans="2:18" ht="21" customHeight="1">
      <c r="B7" s="124" t="s">
        <v>134</v>
      </c>
      <c r="C7" s="124" t="s">
        <v>99</v>
      </c>
      <c r="D7" s="155" t="s">
        <v>105</v>
      </c>
      <c r="E7" s="155"/>
      <c r="F7" s="155" t="s">
        <v>107</v>
      </c>
      <c r="G7" s="156"/>
      <c r="I7" s="11" t="s">
        <v>112</v>
      </c>
      <c r="J7" s="51">
        <f>I14</f>
        <v>0</v>
      </c>
      <c r="K7"/>
      <c r="M7"/>
      <c r="N7"/>
      <c r="O7" s="43"/>
      <c r="P7" s="43"/>
      <c r="Q7" s="43"/>
      <c r="R7"/>
    </row>
    <row r="8" spans="2:18" ht="32.25" customHeight="1">
      <c r="B8" s="12" t="s">
        <v>98</v>
      </c>
      <c r="C8" s="45" t="s">
        <v>1360</v>
      </c>
      <c r="D8" s="13" t="s">
        <v>102</v>
      </c>
      <c r="E8" s="17"/>
      <c r="F8" s="12" t="s">
        <v>106</v>
      </c>
      <c r="G8" s="47"/>
      <c r="I8" s="11" t="s">
        <v>113</v>
      </c>
      <c r="J8" s="52" t="e">
        <f>T31</f>
        <v>#VALUE!</v>
      </c>
      <c r="K8"/>
      <c r="M8"/>
      <c r="N8"/>
      <c r="O8" s="43"/>
      <c r="P8" s="43"/>
      <c r="Q8" s="43"/>
      <c r="R8"/>
    </row>
    <row r="9" spans="2:18" ht="31.5" customHeight="1">
      <c r="B9" s="12" t="s">
        <v>101</v>
      </c>
      <c r="C9" s="36"/>
      <c r="D9" s="13" t="s">
        <v>132</v>
      </c>
      <c r="E9" s="15"/>
      <c r="F9" s="122" t="s">
        <v>1358</v>
      </c>
      <c r="G9" s="47"/>
      <c r="I9" s="11" t="s">
        <v>786</v>
      </c>
      <c r="J9" s="52" t="e">
        <f>SUM(R34:R72)</f>
        <v>#VALUE!</v>
      </c>
      <c r="K9"/>
      <c r="L9" s="41"/>
      <c r="M9"/>
      <c r="N9"/>
      <c r="O9" s="43"/>
      <c r="P9" s="43"/>
      <c r="Q9" s="43"/>
      <c r="R9"/>
    </row>
    <row r="10" spans="2:18" ht="31.5" customHeight="1">
      <c r="B10" s="12" t="s">
        <v>100</v>
      </c>
      <c r="C10" s="14"/>
      <c r="D10" s="13" t="s">
        <v>104</v>
      </c>
      <c r="E10" s="16"/>
      <c r="F10" s="12" t="s">
        <v>1357</v>
      </c>
      <c r="G10" s="47"/>
      <c r="I10" s="11" t="s">
        <v>787</v>
      </c>
      <c r="J10" s="52" t="e">
        <f>SUM(N34:N72)</f>
        <v>#VALUE!</v>
      </c>
      <c r="K10"/>
      <c r="L10" s="42"/>
      <c r="M10"/>
      <c r="N10"/>
      <c r="O10" s="43"/>
      <c r="P10" s="43"/>
      <c r="Q10" s="43"/>
      <c r="R10"/>
    </row>
    <row r="11" spans="2:18" ht="27.75" customHeight="1" thickBot="1">
      <c r="B11" s="12" t="s">
        <v>116</v>
      </c>
      <c r="C11" s="46"/>
      <c r="D11" s="13" t="s">
        <v>103</v>
      </c>
      <c r="E11" s="33"/>
      <c r="F11" s="12" t="s">
        <v>133</v>
      </c>
      <c r="G11" s="47"/>
      <c r="I11" s="49" t="s">
        <v>111</v>
      </c>
      <c r="J11" s="50" t="e">
        <f>J7+J8</f>
        <v>#VALUE!</v>
      </c>
      <c r="K11"/>
      <c r="M11"/>
      <c r="N11"/>
      <c r="O11" s="43"/>
      <c r="P11" s="43"/>
      <c r="Q11" s="43"/>
      <c r="R11"/>
    </row>
    <row r="12" spans="2:18" ht="25.5" customHeight="1" thickTop="1">
      <c r="K12"/>
      <c r="M12"/>
      <c r="N12"/>
      <c r="O12" s="43"/>
      <c r="P12" s="43"/>
      <c r="Q12" s="43"/>
      <c r="R12"/>
    </row>
    <row r="13" spans="2:18">
      <c r="K13"/>
      <c r="M13"/>
      <c r="N13"/>
      <c r="O13" s="43"/>
      <c r="P13" s="43"/>
      <c r="Q13" s="43"/>
      <c r="R13"/>
    </row>
    <row r="14" spans="2:18" ht="23.25" customHeight="1">
      <c r="B14" s="154" t="s">
        <v>110</v>
      </c>
      <c r="C14" s="154"/>
      <c r="D14" s="154"/>
      <c r="E14" s="154"/>
      <c r="F14" s="154"/>
      <c r="G14" s="154"/>
      <c r="H14" s="24" t="s">
        <v>139</v>
      </c>
      <c r="I14" s="25">
        <f>SUM(K17:K28)</f>
        <v>0</v>
      </c>
      <c r="K14"/>
      <c r="M14"/>
      <c r="N14"/>
      <c r="O14" s="43"/>
      <c r="P14" s="43"/>
      <c r="Q14" s="43"/>
      <c r="R14"/>
    </row>
    <row r="15" spans="2:18" ht="9.75" customHeight="1">
      <c r="K15"/>
      <c r="M15"/>
      <c r="N15"/>
      <c r="O15" s="43"/>
      <c r="P15" s="43"/>
      <c r="Q15" s="43"/>
      <c r="R15"/>
    </row>
    <row r="16" spans="2:18" ht="21" customHeight="1">
      <c r="B16" s="6" t="s">
        <v>2019</v>
      </c>
      <c r="C16" s="6" t="s">
        <v>118</v>
      </c>
      <c r="D16" s="6" t="s">
        <v>115</v>
      </c>
      <c r="E16" s="6" t="s">
        <v>778</v>
      </c>
      <c r="F16" s="6" t="s">
        <v>779</v>
      </c>
      <c r="G16" s="6" t="s">
        <v>780</v>
      </c>
      <c r="H16" s="6" t="s">
        <v>781</v>
      </c>
      <c r="I16" s="6" t="s">
        <v>1339</v>
      </c>
      <c r="J16" s="6" t="s">
        <v>117</v>
      </c>
      <c r="K16" s="32" t="s">
        <v>782</v>
      </c>
      <c r="M16"/>
      <c r="N16"/>
      <c r="O16" s="43"/>
      <c r="P16" s="43"/>
      <c r="Q16" s="43"/>
      <c r="R16"/>
    </row>
    <row r="17" spans="1:20" ht="44.25" customHeight="1">
      <c r="A17" s="113" t="str">
        <f>C17&amp;H17&amp;G17&amp;F17</f>
        <v/>
      </c>
      <c r="B17" s="134"/>
      <c r="C17" s="44"/>
      <c r="D17" s="23" t="str">
        <f t="shared" ref="D17:D28" si="0">_xlfn.XLOOKUP(C17,cCodAtiv,cAtivDescr,"")</f>
        <v/>
      </c>
      <c r="E17" s="142"/>
      <c r="F17" s="112"/>
      <c r="G17" s="112"/>
      <c r="H17" s="112"/>
      <c r="I17" s="145">
        <f>(B17*E17)+(B17*F17)+(B17*G17)+(B17*H17)</f>
        <v>0</v>
      </c>
      <c r="J17" s="115" t="str">
        <f t="shared" ref="J17:J28" si="1">_xlfn.XLOOKUP(A17,chave_1_cod_sap,codigo_sap,_xlfn.XLOOKUP(A17,chave_2_cod_sap,codigo_sap,""))</f>
        <v/>
      </c>
      <c r="K17" s="114">
        <f>B17 - I17</f>
        <v>0</v>
      </c>
      <c r="L17" s="140"/>
      <c r="M17"/>
      <c r="N17"/>
      <c r="O17" s="43"/>
      <c r="P17" s="43"/>
      <c r="Q17" s="43"/>
      <c r="R17"/>
    </row>
    <row r="18" spans="1:20">
      <c r="A18" s="113" t="str">
        <f t="shared" ref="A18:A28" si="2">C18&amp;H18&amp;G18&amp;F18</f>
        <v/>
      </c>
      <c r="B18" s="134"/>
      <c r="C18" s="44"/>
      <c r="D18" s="23" t="str">
        <f t="shared" si="0"/>
        <v/>
      </c>
      <c r="E18" s="112"/>
      <c r="F18" s="112"/>
      <c r="G18" s="112"/>
      <c r="H18" s="112"/>
      <c r="I18" s="145">
        <f t="shared" ref="I18:I28" si="3">(B18*E18)+(B18*F18)+(B18*G18)+(B18*H18)</f>
        <v>0</v>
      </c>
      <c r="J18" s="115" t="str">
        <f t="shared" si="1"/>
        <v/>
      </c>
      <c r="K18" s="114">
        <f t="shared" ref="K18:K28" si="4">B18 - (B18*E18)+(B18*F18)+(B18*G18)+(B18*H18)</f>
        <v>0</v>
      </c>
      <c r="L18" s="141"/>
      <c r="M18"/>
      <c r="N18"/>
      <c r="O18" s="43"/>
      <c r="P18" s="43"/>
      <c r="Q18" s="43"/>
      <c r="R18"/>
    </row>
    <row r="19" spans="1:20">
      <c r="A19" s="113" t="str">
        <f t="shared" si="2"/>
        <v/>
      </c>
      <c r="B19" s="134"/>
      <c r="C19" s="44"/>
      <c r="D19" s="23" t="str">
        <f t="shared" si="0"/>
        <v/>
      </c>
      <c r="E19" s="112"/>
      <c r="F19" s="112"/>
      <c r="G19" s="112"/>
      <c r="H19" s="112"/>
      <c r="I19" s="145">
        <f t="shared" si="3"/>
        <v>0</v>
      </c>
      <c r="J19" s="115" t="str">
        <f t="shared" si="1"/>
        <v/>
      </c>
      <c r="K19" s="114">
        <f t="shared" si="4"/>
        <v>0</v>
      </c>
      <c r="L19" s="141"/>
      <c r="M19"/>
      <c r="N19"/>
      <c r="O19" s="43"/>
      <c r="P19" s="43"/>
      <c r="Q19" s="43"/>
      <c r="R19"/>
    </row>
    <row r="20" spans="1:20">
      <c r="A20" s="113" t="str">
        <f t="shared" si="2"/>
        <v/>
      </c>
      <c r="B20" s="134"/>
      <c r="C20" s="44"/>
      <c r="D20" s="23" t="str">
        <f t="shared" si="0"/>
        <v/>
      </c>
      <c r="E20" s="112"/>
      <c r="F20" s="112"/>
      <c r="G20" s="112"/>
      <c r="H20" s="112"/>
      <c r="I20" s="145">
        <f t="shared" si="3"/>
        <v>0</v>
      </c>
      <c r="J20" s="115" t="str">
        <f t="shared" si="1"/>
        <v/>
      </c>
      <c r="K20" s="114">
        <f t="shared" si="4"/>
        <v>0</v>
      </c>
      <c r="L20" s="141"/>
      <c r="M20"/>
      <c r="N20"/>
      <c r="O20" s="43"/>
      <c r="P20" s="43"/>
      <c r="Q20" s="43"/>
      <c r="R20"/>
    </row>
    <row r="21" spans="1:20">
      <c r="A21" s="113" t="str">
        <f t="shared" si="2"/>
        <v/>
      </c>
      <c r="B21" s="134"/>
      <c r="C21" s="44"/>
      <c r="D21" s="23" t="str">
        <f t="shared" si="0"/>
        <v/>
      </c>
      <c r="E21" s="112"/>
      <c r="F21" s="112"/>
      <c r="G21" s="112"/>
      <c r="H21" s="112"/>
      <c r="I21" s="145">
        <f t="shared" si="3"/>
        <v>0</v>
      </c>
      <c r="J21" s="115" t="str">
        <f t="shared" si="1"/>
        <v/>
      </c>
      <c r="K21" s="114">
        <f t="shared" si="4"/>
        <v>0</v>
      </c>
      <c r="L21" s="141"/>
      <c r="M21"/>
      <c r="N21"/>
      <c r="O21" s="43"/>
      <c r="P21" s="43"/>
      <c r="Q21" s="43"/>
      <c r="R21"/>
    </row>
    <row r="22" spans="1:20">
      <c r="A22" s="113" t="str">
        <f t="shared" si="2"/>
        <v/>
      </c>
      <c r="B22" s="134"/>
      <c r="C22" s="44"/>
      <c r="D22" s="23" t="str">
        <f t="shared" si="0"/>
        <v/>
      </c>
      <c r="E22" s="112"/>
      <c r="F22" s="112"/>
      <c r="G22" s="112"/>
      <c r="H22" s="112"/>
      <c r="I22" s="145">
        <f t="shared" si="3"/>
        <v>0</v>
      </c>
      <c r="J22" s="115" t="str">
        <f t="shared" si="1"/>
        <v/>
      </c>
      <c r="K22" s="114">
        <f t="shared" si="4"/>
        <v>0</v>
      </c>
      <c r="L22" s="141"/>
      <c r="M22"/>
      <c r="N22"/>
      <c r="O22" s="43"/>
      <c r="P22" s="43"/>
      <c r="Q22" s="43"/>
      <c r="R22"/>
    </row>
    <row r="23" spans="1:20">
      <c r="A23" s="113" t="str">
        <f t="shared" si="2"/>
        <v/>
      </c>
      <c r="B23" s="134"/>
      <c r="C23" s="44"/>
      <c r="D23" s="23" t="str">
        <f t="shared" si="0"/>
        <v/>
      </c>
      <c r="E23" s="112"/>
      <c r="F23" s="112"/>
      <c r="G23" s="112"/>
      <c r="H23" s="112"/>
      <c r="I23" s="145">
        <f t="shared" si="3"/>
        <v>0</v>
      </c>
      <c r="J23" s="115" t="str">
        <f t="shared" si="1"/>
        <v/>
      </c>
      <c r="K23" s="114">
        <f t="shared" si="4"/>
        <v>0</v>
      </c>
      <c r="L23" s="141"/>
      <c r="M23"/>
      <c r="N23" s="130"/>
      <c r="O23" s="43"/>
      <c r="P23" s="43"/>
      <c r="Q23" s="43"/>
      <c r="R23"/>
    </row>
    <row r="24" spans="1:20">
      <c r="A24" s="113" t="str">
        <f t="shared" si="2"/>
        <v/>
      </c>
      <c r="B24" s="134"/>
      <c r="C24" s="44"/>
      <c r="D24" s="23" t="str">
        <f t="shared" si="0"/>
        <v/>
      </c>
      <c r="E24" s="112"/>
      <c r="F24" s="112"/>
      <c r="G24" s="112"/>
      <c r="H24" s="112"/>
      <c r="I24" s="145">
        <f t="shared" si="3"/>
        <v>0</v>
      </c>
      <c r="J24" s="115" t="str">
        <f t="shared" si="1"/>
        <v/>
      </c>
      <c r="K24" s="114">
        <f t="shared" si="4"/>
        <v>0</v>
      </c>
      <c r="L24" s="141"/>
      <c r="M24"/>
      <c r="N24"/>
      <c r="O24" s="43"/>
      <c r="P24" s="43"/>
      <c r="Q24" s="43"/>
      <c r="R24"/>
    </row>
    <row r="25" spans="1:20">
      <c r="A25" s="113" t="str">
        <f t="shared" si="2"/>
        <v/>
      </c>
      <c r="B25" s="134"/>
      <c r="C25" s="44"/>
      <c r="D25" s="23" t="str">
        <f t="shared" si="0"/>
        <v/>
      </c>
      <c r="E25" s="112"/>
      <c r="F25" s="112"/>
      <c r="G25" s="112"/>
      <c r="H25" s="112"/>
      <c r="I25" s="145">
        <f t="shared" si="3"/>
        <v>0</v>
      </c>
      <c r="J25" s="115" t="str">
        <f t="shared" si="1"/>
        <v/>
      </c>
      <c r="K25" s="114">
        <f t="shared" si="4"/>
        <v>0</v>
      </c>
      <c r="L25" s="141"/>
      <c r="M25"/>
      <c r="N25"/>
      <c r="O25" s="43"/>
      <c r="P25" s="43"/>
      <c r="Q25" s="43"/>
      <c r="R25"/>
    </row>
    <row r="26" spans="1:20">
      <c r="A26" s="113" t="str">
        <f t="shared" si="2"/>
        <v/>
      </c>
      <c r="B26" s="134"/>
      <c r="C26" s="44"/>
      <c r="D26" s="23" t="str">
        <f t="shared" si="0"/>
        <v/>
      </c>
      <c r="E26" s="112"/>
      <c r="F26" s="112"/>
      <c r="G26" s="112"/>
      <c r="H26" s="112"/>
      <c r="I26" s="145">
        <f t="shared" si="3"/>
        <v>0</v>
      </c>
      <c r="J26" s="115" t="str">
        <f t="shared" si="1"/>
        <v/>
      </c>
      <c r="K26" s="114">
        <f t="shared" si="4"/>
        <v>0</v>
      </c>
      <c r="L26" s="141"/>
      <c r="M26"/>
      <c r="N26"/>
      <c r="O26" s="43"/>
      <c r="P26" s="43"/>
      <c r="Q26" s="43"/>
      <c r="R26"/>
    </row>
    <row r="27" spans="1:20">
      <c r="A27" s="113" t="str">
        <f t="shared" si="2"/>
        <v/>
      </c>
      <c r="B27" s="134"/>
      <c r="C27" s="44"/>
      <c r="D27" s="23" t="str">
        <f t="shared" si="0"/>
        <v/>
      </c>
      <c r="E27" s="112"/>
      <c r="F27" s="112"/>
      <c r="G27" s="112"/>
      <c r="H27" s="112"/>
      <c r="I27" s="145">
        <f t="shared" si="3"/>
        <v>0</v>
      </c>
      <c r="J27" s="115" t="str">
        <f t="shared" si="1"/>
        <v/>
      </c>
      <c r="K27" s="114">
        <f t="shared" si="4"/>
        <v>0</v>
      </c>
      <c r="L27" s="141"/>
      <c r="M27"/>
      <c r="N27"/>
      <c r="O27" s="43"/>
      <c r="P27" s="43"/>
      <c r="Q27" s="43"/>
      <c r="R27"/>
    </row>
    <row r="28" spans="1:20">
      <c r="A28" s="113" t="str">
        <f t="shared" si="2"/>
        <v/>
      </c>
      <c r="B28" s="134"/>
      <c r="C28" s="44"/>
      <c r="D28" s="23" t="str">
        <f t="shared" si="0"/>
        <v/>
      </c>
      <c r="E28" s="112"/>
      <c r="F28" s="112"/>
      <c r="G28" s="112"/>
      <c r="H28" s="112"/>
      <c r="I28" s="145">
        <f t="shared" si="3"/>
        <v>0</v>
      </c>
      <c r="J28" s="115" t="str">
        <f t="shared" si="1"/>
        <v/>
      </c>
      <c r="K28" s="114">
        <f t="shared" si="4"/>
        <v>0</v>
      </c>
      <c r="L28" s="141"/>
      <c r="M28"/>
      <c r="N28"/>
      <c r="O28" s="43"/>
      <c r="P28" s="43"/>
      <c r="Q28" s="43"/>
      <c r="R28"/>
    </row>
    <row r="29" spans="1:20">
      <c r="K29"/>
      <c r="M29"/>
      <c r="N29"/>
      <c r="O29" s="43"/>
      <c r="P29" s="43"/>
      <c r="Q29" s="43"/>
      <c r="R29"/>
    </row>
    <row r="30" spans="1:20">
      <c r="K30"/>
      <c r="M30"/>
      <c r="N30"/>
      <c r="O30" s="43"/>
      <c r="P30" s="43"/>
      <c r="Q30" s="43"/>
      <c r="R30"/>
    </row>
    <row r="31" spans="1:20" ht="22.5" customHeight="1">
      <c r="B31" s="153" t="s">
        <v>1373</v>
      </c>
      <c r="C31" s="153"/>
      <c r="D31" s="153"/>
      <c r="E31" s="153"/>
      <c r="F31" s="153"/>
      <c r="G31" s="153"/>
      <c r="H31" s="153"/>
      <c r="I31" s="153"/>
      <c r="J31" s="153"/>
      <c r="K31" s="153"/>
      <c r="L31" s="153"/>
      <c r="M31" s="153"/>
      <c r="N31" s="148" t="s">
        <v>1361</v>
      </c>
      <c r="O31" s="148"/>
      <c r="P31" s="148"/>
      <c r="Q31" s="148"/>
      <c r="R31" s="148"/>
      <c r="S31" s="149"/>
      <c r="T31" s="129" t="e">
        <f>SUM(T34:T1048576)</f>
        <v>#VALUE!</v>
      </c>
    </row>
    <row r="32" spans="1:20" ht="24" customHeight="1">
      <c r="B32" s="153"/>
      <c r="C32" s="153"/>
      <c r="D32" s="153"/>
      <c r="E32" s="153"/>
      <c r="F32" s="153"/>
      <c r="G32" s="153"/>
      <c r="H32" s="153"/>
      <c r="I32" s="153"/>
      <c r="J32" s="153"/>
      <c r="K32" s="153"/>
      <c r="L32" s="153"/>
      <c r="M32" s="153"/>
      <c r="N32" s="22" t="e">
        <f>SUM(N34:N72)</f>
        <v>#VALUE!</v>
      </c>
      <c r="O32" s="43"/>
      <c r="P32" s="43"/>
      <c r="Q32" s="22" t="e">
        <f>SUM(Q34:Q72)</f>
        <v>#VALUE!</v>
      </c>
      <c r="R32" s="22" t="e">
        <f>SUM(R34:R72)</f>
        <v>#VALUE!</v>
      </c>
      <c r="S32" s="22">
        <f>SUM(S34:S72)</f>
        <v>0</v>
      </c>
    </row>
    <row r="33" spans="2:21" ht="28.5" customHeight="1">
      <c r="B33" s="7" t="s">
        <v>119</v>
      </c>
      <c r="C33" s="6" t="s">
        <v>120</v>
      </c>
      <c r="D33" s="6" t="s">
        <v>138</v>
      </c>
      <c r="E33" s="6" t="s">
        <v>121</v>
      </c>
      <c r="F33" s="6" t="s">
        <v>114</v>
      </c>
      <c r="G33" s="6" t="s">
        <v>2018</v>
      </c>
      <c r="H33" s="7" t="s">
        <v>122</v>
      </c>
      <c r="I33" s="6" t="s">
        <v>1375</v>
      </c>
      <c r="J33" s="8" t="s">
        <v>1374</v>
      </c>
      <c r="K33" s="8" t="s">
        <v>123</v>
      </c>
      <c r="L33" s="8" t="s">
        <v>784</v>
      </c>
      <c r="M33" s="8" t="s">
        <v>124</v>
      </c>
      <c r="N33" s="8" t="s">
        <v>137</v>
      </c>
      <c r="O33" s="8" t="s">
        <v>125</v>
      </c>
      <c r="P33" s="18" t="s">
        <v>1362</v>
      </c>
      <c r="Q33" s="18" t="s">
        <v>1376</v>
      </c>
      <c r="R33" s="18" t="s">
        <v>136</v>
      </c>
      <c r="S33" s="8" t="s">
        <v>126</v>
      </c>
      <c r="T33" s="8" t="s">
        <v>127</v>
      </c>
      <c r="U33" s="8" t="s">
        <v>785</v>
      </c>
    </row>
    <row r="34" spans="2:21">
      <c r="B34" s="143" t="s">
        <v>1360</v>
      </c>
      <c r="C34" s="135" t="s">
        <v>1360</v>
      </c>
      <c r="D34" s="39" t="s">
        <v>1360</v>
      </c>
      <c r="E34" s="133" t="s">
        <v>1360</v>
      </c>
      <c r="F34" s="144" t="s">
        <v>1360</v>
      </c>
      <c r="G34" s="132" t="s">
        <v>1360</v>
      </c>
      <c r="H34" s="39" t="s">
        <v>1360</v>
      </c>
      <c r="I34" s="39" t="s">
        <v>1360</v>
      </c>
      <c r="J34" s="133" t="s">
        <v>1360</v>
      </c>
      <c r="K34" s="132" t="s">
        <v>1360</v>
      </c>
      <c r="L34" s="133" t="s">
        <v>1360</v>
      </c>
      <c r="M34" s="40" t="s">
        <v>1360</v>
      </c>
      <c r="N34" s="19" t="e">
        <f t="shared" ref="N34:N72" si="5">ROUND((C34*F34)*M34,2)</f>
        <v>#VALUE!</v>
      </c>
      <c r="O34" s="131"/>
      <c r="P34" s="131">
        <v>0.1</v>
      </c>
      <c r="Q34" s="19" t="e">
        <f>IF(OR(J34="Uso ou Consumo",J34="Ativo Fixo"),((C34*F34)+N34)-(((C34*F34)+N34)*P34),((C34*F34))-(((C34*F34))*P34))</f>
        <v>#VALUE!</v>
      </c>
      <c r="R34" s="19" t="e">
        <f>Q34*O34</f>
        <v>#VALUE!</v>
      </c>
      <c r="S34" s="48"/>
      <c r="T34" s="19" t="e">
        <f>Q34+N34+S34</f>
        <v>#VALUE!</v>
      </c>
      <c r="U34" s="39"/>
    </row>
    <row r="35" spans="2:21">
      <c r="B35" s="143" t="s">
        <v>1360</v>
      </c>
      <c r="C35" s="135" t="s">
        <v>1360</v>
      </c>
      <c r="D35" s="39" t="s">
        <v>1360</v>
      </c>
      <c r="E35" s="133" t="s">
        <v>1360</v>
      </c>
      <c r="F35" s="144" t="s">
        <v>1360</v>
      </c>
      <c r="G35" s="132" t="s">
        <v>1360</v>
      </c>
      <c r="H35" s="39" t="s">
        <v>1360</v>
      </c>
      <c r="I35" s="39" t="s">
        <v>1360</v>
      </c>
      <c r="J35" s="133" t="s">
        <v>1360</v>
      </c>
      <c r="K35" s="132" t="s">
        <v>1360</v>
      </c>
      <c r="L35" s="133" t="s">
        <v>1360</v>
      </c>
      <c r="M35" s="40" t="s">
        <v>1360</v>
      </c>
      <c r="N35" s="19" t="e">
        <f t="shared" si="5"/>
        <v>#VALUE!</v>
      </c>
      <c r="O35" s="131"/>
      <c r="P35" s="131"/>
      <c r="Q35" s="19" t="e">
        <f t="shared" ref="Q35:Q72" si="6">IF(OR(J35="Uso ou Consumo",J35="Ativo Fixo"),((C35*F35)+N35)-(((C35*F35)+N35)*P35),((C35*F35))-(((C35*F35))*P35))</f>
        <v>#VALUE!</v>
      </c>
      <c r="R35" s="19" t="e">
        <f t="shared" ref="R35:R72" si="7">Q35*O35</f>
        <v>#VALUE!</v>
      </c>
      <c r="S35" s="48"/>
      <c r="T35" s="19" t="e">
        <f t="shared" ref="T35:T72" si="8">Q35+N35+S35</f>
        <v>#VALUE!</v>
      </c>
      <c r="U35" s="39"/>
    </row>
    <row r="36" spans="2:21">
      <c r="B36" s="143" t="s">
        <v>1360</v>
      </c>
      <c r="C36" s="135" t="s">
        <v>1360</v>
      </c>
      <c r="D36" s="39" t="s">
        <v>1360</v>
      </c>
      <c r="E36" s="133" t="s">
        <v>1360</v>
      </c>
      <c r="F36" s="144" t="s">
        <v>1360</v>
      </c>
      <c r="G36" s="132" t="s">
        <v>1360</v>
      </c>
      <c r="H36" s="39" t="s">
        <v>1360</v>
      </c>
      <c r="I36" s="39" t="s">
        <v>1360</v>
      </c>
      <c r="J36" s="39" t="s">
        <v>1360</v>
      </c>
      <c r="K36" s="126" t="s">
        <v>1360</v>
      </c>
      <c r="L36" s="133" t="s">
        <v>1360</v>
      </c>
      <c r="M36" s="40" t="s">
        <v>1360</v>
      </c>
      <c r="N36" s="19" t="e">
        <f t="shared" si="5"/>
        <v>#VALUE!</v>
      </c>
      <c r="O36" s="131"/>
      <c r="P36" s="131"/>
      <c r="Q36" s="19" t="e">
        <f t="shared" si="6"/>
        <v>#VALUE!</v>
      </c>
      <c r="R36" s="19" t="e">
        <f t="shared" si="7"/>
        <v>#VALUE!</v>
      </c>
      <c r="S36" s="48"/>
      <c r="T36" s="19" t="e">
        <f t="shared" si="8"/>
        <v>#VALUE!</v>
      </c>
      <c r="U36" s="39"/>
    </row>
    <row r="37" spans="2:21">
      <c r="B37" s="143" t="s">
        <v>1360</v>
      </c>
      <c r="C37" s="135" t="s">
        <v>1360</v>
      </c>
      <c r="D37" s="39" t="s">
        <v>1360</v>
      </c>
      <c r="E37" s="133" t="s">
        <v>1360</v>
      </c>
      <c r="F37" s="144" t="s">
        <v>1360</v>
      </c>
      <c r="G37" s="132" t="s">
        <v>1360</v>
      </c>
      <c r="H37" s="39" t="s">
        <v>1360</v>
      </c>
      <c r="I37" s="39" t="s">
        <v>1360</v>
      </c>
      <c r="J37" s="39" t="s">
        <v>1360</v>
      </c>
      <c r="K37" s="126" t="s">
        <v>1360</v>
      </c>
      <c r="L37" s="133" t="s">
        <v>1360</v>
      </c>
      <c r="M37" s="40" t="s">
        <v>1360</v>
      </c>
      <c r="N37" s="19" t="e">
        <f t="shared" si="5"/>
        <v>#VALUE!</v>
      </c>
      <c r="O37" s="131"/>
      <c r="P37" s="131"/>
      <c r="Q37" s="19" t="e">
        <f t="shared" si="6"/>
        <v>#VALUE!</v>
      </c>
      <c r="R37" s="19" t="e">
        <f t="shared" si="7"/>
        <v>#VALUE!</v>
      </c>
      <c r="S37" s="48"/>
      <c r="T37" s="19" t="e">
        <f t="shared" si="8"/>
        <v>#VALUE!</v>
      </c>
      <c r="U37" s="39"/>
    </row>
    <row r="38" spans="2:21">
      <c r="B38" s="143" t="s">
        <v>1360</v>
      </c>
      <c r="C38" s="135" t="s">
        <v>1360</v>
      </c>
      <c r="D38" s="39" t="s">
        <v>1360</v>
      </c>
      <c r="E38" s="133" t="s">
        <v>1360</v>
      </c>
      <c r="F38" s="144" t="s">
        <v>1360</v>
      </c>
      <c r="G38" s="132" t="s">
        <v>1360</v>
      </c>
      <c r="H38" s="39" t="s">
        <v>1360</v>
      </c>
      <c r="I38" s="39" t="s">
        <v>1360</v>
      </c>
      <c r="J38" s="39" t="s">
        <v>1360</v>
      </c>
      <c r="K38" s="126" t="s">
        <v>1360</v>
      </c>
      <c r="L38" s="133" t="s">
        <v>1360</v>
      </c>
      <c r="M38" s="40" t="s">
        <v>1360</v>
      </c>
      <c r="N38" s="19" t="e">
        <f t="shared" si="5"/>
        <v>#VALUE!</v>
      </c>
      <c r="O38" s="131"/>
      <c r="P38" s="131"/>
      <c r="Q38" s="19" t="e">
        <f t="shared" si="6"/>
        <v>#VALUE!</v>
      </c>
      <c r="R38" s="19" t="e">
        <f t="shared" si="7"/>
        <v>#VALUE!</v>
      </c>
      <c r="S38" s="48"/>
      <c r="T38" s="19" t="e">
        <f t="shared" si="8"/>
        <v>#VALUE!</v>
      </c>
      <c r="U38" s="39"/>
    </row>
    <row r="39" spans="2:21">
      <c r="B39" s="143" t="s">
        <v>1360</v>
      </c>
      <c r="C39" s="135" t="s">
        <v>1360</v>
      </c>
      <c r="D39" s="39" t="s">
        <v>1360</v>
      </c>
      <c r="E39" s="133" t="s">
        <v>1360</v>
      </c>
      <c r="F39" s="144" t="s">
        <v>1360</v>
      </c>
      <c r="G39" s="132" t="s">
        <v>1360</v>
      </c>
      <c r="H39" s="39" t="s">
        <v>1360</v>
      </c>
      <c r="I39" s="39" t="s">
        <v>1360</v>
      </c>
      <c r="J39" s="39" t="s">
        <v>1360</v>
      </c>
      <c r="K39" s="126" t="s">
        <v>1360</v>
      </c>
      <c r="L39" s="133" t="s">
        <v>1360</v>
      </c>
      <c r="M39" s="40" t="s">
        <v>1360</v>
      </c>
      <c r="N39" s="19" t="e">
        <f t="shared" si="5"/>
        <v>#VALUE!</v>
      </c>
      <c r="O39" s="131"/>
      <c r="P39" s="131"/>
      <c r="Q39" s="19" t="e">
        <f t="shared" si="6"/>
        <v>#VALUE!</v>
      </c>
      <c r="R39" s="19" t="e">
        <f t="shared" si="7"/>
        <v>#VALUE!</v>
      </c>
      <c r="S39" s="48"/>
      <c r="T39" s="19" t="e">
        <f t="shared" si="8"/>
        <v>#VALUE!</v>
      </c>
      <c r="U39" s="39"/>
    </row>
    <row r="40" spans="2:21">
      <c r="B40" s="143" t="s">
        <v>1360</v>
      </c>
      <c r="C40" s="135" t="s">
        <v>1360</v>
      </c>
      <c r="D40" s="39" t="s">
        <v>1360</v>
      </c>
      <c r="E40" s="133" t="s">
        <v>1360</v>
      </c>
      <c r="F40" s="144" t="s">
        <v>1360</v>
      </c>
      <c r="G40" s="132" t="s">
        <v>1360</v>
      </c>
      <c r="H40" s="39" t="s">
        <v>1360</v>
      </c>
      <c r="I40" s="39" t="s">
        <v>1360</v>
      </c>
      <c r="J40" s="39" t="s">
        <v>1360</v>
      </c>
      <c r="K40" s="126" t="s">
        <v>1360</v>
      </c>
      <c r="L40" s="133" t="s">
        <v>1360</v>
      </c>
      <c r="M40" s="40" t="s">
        <v>1360</v>
      </c>
      <c r="N40" s="19" t="e">
        <f t="shared" si="5"/>
        <v>#VALUE!</v>
      </c>
      <c r="O40" s="131"/>
      <c r="P40" s="131"/>
      <c r="Q40" s="19" t="e">
        <f t="shared" si="6"/>
        <v>#VALUE!</v>
      </c>
      <c r="R40" s="19" t="e">
        <f t="shared" si="7"/>
        <v>#VALUE!</v>
      </c>
      <c r="S40" s="48"/>
      <c r="T40" s="19" t="e">
        <f t="shared" si="8"/>
        <v>#VALUE!</v>
      </c>
      <c r="U40" s="39"/>
    </row>
    <row r="41" spans="2:21">
      <c r="B41" s="143" t="s">
        <v>1360</v>
      </c>
      <c r="C41" s="135" t="s">
        <v>1360</v>
      </c>
      <c r="D41" s="39" t="s">
        <v>1360</v>
      </c>
      <c r="E41" s="133" t="s">
        <v>1360</v>
      </c>
      <c r="F41" s="144" t="s">
        <v>1360</v>
      </c>
      <c r="G41" s="132" t="s">
        <v>1360</v>
      </c>
      <c r="H41" s="39" t="s">
        <v>1360</v>
      </c>
      <c r="I41" s="39" t="s">
        <v>1360</v>
      </c>
      <c r="J41" s="39" t="s">
        <v>1360</v>
      </c>
      <c r="K41" s="126" t="s">
        <v>1360</v>
      </c>
      <c r="L41" s="133" t="s">
        <v>1360</v>
      </c>
      <c r="M41" s="40" t="s">
        <v>1360</v>
      </c>
      <c r="N41" s="19" t="e">
        <f t="shared" si="5"/>
        <v>#VALUE!</v>
      </c>
      <c r="O41" s="131"/>
      <c r="P41" s="131"/>
      <c r="Q41" s="19" t="e">
        <f t="shared" si="6"/>
        <v>#VALUE!</v>
      </c>
      <c r="R41" s="19" t="e">
        <f t="shared" si="7"/>
        <v>#VALUE!</v>
      </c>
      <c r="S41" s="48"/>
      <c r="T41" s="19" t="e">
        <f t="shared" si="8"/>
        <v>#VALUE!</v>
      </c>
      <c r="U41" s="39"/>
    </row>
    <row r="42" spans="2:21">
      <c r="B42" s="143" t="s">
        <v>1360</v>
      </c>
      <c r="C42" s="135" t="s">
        <v>1360</v>
      </c>
      <c r="D42" s="39" t="s">
        <v>1360</v>
      </c>
      <c r="E42" s="133" t="s">
        <v>1360</v>
      </c>
      <c r="F42" s="144" t="s">
        <v>1360</v>
      </c>
      <c r="G42" s="132" t="s">
        <v>1360</v>
      </c>
      <c r="H42" s="39" t="s">
        <v>1360</v>
      </c>
      <c r="I42" s="39" t="s">
        <v>1360</v>
      </c>
      <c r="J42" s="39" t="s">
        <v>1360</v>
      </c>
      <c r="K42" s="126" t="s">
        <v>1360</v>
      </c>
      <c r="L42" s="133" t="s">
        <v>1360</v>
      </c>
      <c r="M42" s="40" t="s">
        <v>1360</v>
      </c>
      <c r="N42" s="19" t="e">
        <f t="shared" si="5"/>
        <v>#VALUE!</v>
      </c>
      <c r="O42" s="131"/>
      <c r="P42" s="131"/>
      <c r="Q42" s="19" t="e">
        <f t="shared" si="6"/>
        <v>#VALUE!</v>
      </c>
      <c r="R42" s="19" t="e">
        <f t="shared" si="7"/>
        <v>#VALUE!</v>
      </c>
      <c r="S42" s="48"/>
      <c r="T42" s="19" t="e">
        <f t="shared" si="8"/>
        <v>#VALUE!</v>
      </c>
      <c r="U42" s="39"/>
    </row>
    <row r="43" spans="2:21">
      <c r="B43" s="143" t="s">
        <v>1360</v>
      </c>
      <c r="C43" s="135" t="s">
        <v>1360</v>
      </c>
      <c r="D43" s="39" t="s">
        <v>1360</v>
      </c>
      <c r="E43" s="133" t="s">
        <v>1360</v>
      </c>
      <c r="F43" s="144" t="s">
        <v>1360</v>
      </c>
      <c r="G43" s="132" t="s">
        <v>1360</v>
      </c>
      <c r="H43" s="39" t="s">
        <v>1360</v>
      </c>
      <c r="I43" s="39" t="s">
        <v>1360</v>
      </c>
      <c r="J43" s="39" t="s">
        <v>1360</v>
      </c>
      <c r="K43" s="126" t="s">
        <v>1360</v>
      </c>
      <c r="L43" s="133" t="s">
        <v>1360</v>
      </c>
      <c r="M43" s="40" t="s">
        <v>1360</v>
      </c>
      <c r="N43" s="19" t="e">
        <f t="shared" si="5"/>
        <v>#VALUE!</v>
      </c>
      <c r="O43" s="131"/>
      <c r="P43" s="131"/>
      <c r="Q43" s="19" t="e">
        <f t="shared" si="6"/>
        <v>#VALUE!</v>
      </c>
      <c r="R43" s="19" t="e">
        <f t="shared" si="7"/>
        <v>#VALUE!</v>
      </c>
      <c r="S43" s="48"/>
      <c r="T43" s="19" t="e">
        <f t="shared" si="8"/>
        <v>#VALUE!</v>
      </c>
      <c r="U43" s="39"/>
    </row>
    <row r="44" spans="2:21">
      <c r="B44" s="143" t="s">
        <v>1360</v>
      </c>
      <c r="C44" s="135" t="s">
        <v>1360</v>
      </c>
      <c r="D44" s="39" t="s">
        <v>1360</v>
      </c>
      <c r="E44" s="133" t="s">
        <v>1360</v>
      </c>
      <c r="F44" s="144" t="s">
        <v>1360</v>
      </c>
      <c r="G44" s="132" t="s">
        <v>1360</v>
      </c>
      <c r="H44" s="39" t="s">
        <v>1360</v>
      </c>
      <c r="I44" s="39" t="s">
        <v>1360</v>
      </c>
      <c r="J44" s="39" t="s">
        <v>1360</v>
      </c>
      <c r="K44" s="126" t="s">
        <v>1360</v>
      </c>
      <c r="L44" s="133" t="s">
        <v>1360</v>
      </c>
      <c r="M44" s="40" t="s">
        <v>1360</v>
      </c>
      <c r="N44" s="19" t="e">
        <f t="shared" si="5"/>
        <v>#VALUE!</v>
      </c>
      <c r="O44" s="131"/>
      <c r="P44" s="131"/>
      <c r="Q44" s="19" t="e">
        <f t="shared" si="6"/>
        <v>#VALUE!</v>
      </c>
      <c r="R44" s="19" t="e">
        <f t="shared" si="7"/>
        <v>#VALUE!</v>
      </c>
      <c r="S44" s="48"/>
      <c r="T44" s="19" t="e">
        <f t="shared" si="8"/>
        <v>#VALUE!</v>
      </c>
      <c r="U44" s="39"/>
    </row>
    <row r="45" spans="2:21">
      <c r="B45" s="143" t="s">
        <v>1360</v>
      </c>
      <c r="C45" s="135" t="s">
        <v>1360</v>
      </c>
      <c r="D45" s="39" t="s">
        <v>1360</v>
      </c>
      <c r="E45" s="133" t="s">
        <v>1360</v>
      </c>
      <c r="F45" s="144" t="s">
        <v>1360</v>
      </c>
      <c r="G45" s="132" t="s">
        <v>1360</v>
      </c>
      <c r="H45" s="39" t="s">
        <v>1360</v>
      </c>
      <c r="I45" s="39" t="s">
        <v>1360</v>
      </c>
      <c r="J45" s="39" t="s">
        <v>1360</v>
      </c>
      <c r="K45" s="126" t="s">
        <v>1360</v>
      </c>
      <c r="L45" s="133" t="s">
        <v>1360</v>
      </c>
      <c r="M45" s="40" t="s">
        <v>1360</v>
      </c>
      <c r="N45" s="19" t="e">
        <f t="shared" si="5"/>
        <v>#VALUE!</v>
      </c>
      <c r="O45" s="131"/>
      <c r="P45" s="131"/>
      <c r="Q45" s="19" t="e">
        <f t="shared" si="6"/>
        <v>#VALUE!</v>
      </c>
      <c r="R45" s="19" t="e">
        <f t="shared" si="7"/>
        <v>#VALUE!</v>
      </c>
      <c r="S45" s="48"/>
      <c r="T45" s="19" t="e">
        <f t="shared" si="8"/>
        <v>#VALUE!</v>
      </c>
      <c r="U45" s="39"/>
    </row>
    <row r="46" spans="2:21">
      <c r="B46" s="143" t="s">
        <v>1360</v>
      </c>
      <c r="C46" s="135" t="s">
        <v>1360</v>
      </c>
      <c r="D46" s="39" t="s">
        <v>1360</v>
      </c>
      <c r="E46" s="133" t="s">
        <v>1360</v>
      </c>
      <c r="F46" s="144" t="s">
        <v>1360</v>
      </c>
      <c r="G46" s="132" t="s">
        <v>1360</v>
      </c>
      <c r="H46" s="39" t="s">
        <v>1360</v>
      </c>
      <c r="I46" s="39" t="s">
        <v>1360</v>
      </c>
      <c r="J46" s="39" t="s">
        <v>1360</v>
      </c>
      <c r="K46" s="126" t="s">
        <v>1360</v>
      </c>
      <c r="L46" s="133" t="s">
        <v>1360</v>
      </c>
      <c r="M46" s="40" t="s">
        <v>1360</v>
      </c>
      <c r="N46" s="19" t="e">
        <f t="shared" si="5"/>
        <v>#VALUE!</v>
      </c>
      <c r="O46" s="131"/>
      <c r="P46" s="131"/>
      <c r="Q46" s="19" t="e">
        <f t="shared" si="6"/>
        <v>#VALUE!</v>
      </c>
      <c r="R46" s="19" t="e">
        <f t="shared" si="7"/>
        <v>#VALUE!</v>
      </c>
      <c r="S46" s="48"/>
      <c r="T46" s="19" t="e">
        <f t="shared" si="8"/>
        <v>#VALUE!</v>
      </c>
      <c r="U46" s="39"/>
    </row>
    <row r="47" spans="2:21">
      <c r="B47" s="143" t="s">
        <v>1360</v>
      </c>
      <c r="C47" s="135" t="s">
        <v>1360</v>
      </c>
      <c r="D47" s="39" t="s">
        <v>1360</v>
      </c>
      <c r="E47" s="133" t="s">
        <v>1360</v>
      </c>
      <c r="F47" s="144" t="s">
        <v>1360</v>
      </c>
      <c r="G47" s="132" t="s">
        <v>1360</v>
      </c>
      <c r="H47" s="39" t="s">
        <v>1360</v>
      </c>
      <c r="I47" s="39" t="s">
        <v>1360</v>
      </c>
      <c r="J47" s="39" t="s">
        <v>1360</v>
      </c>
      <c r="K47" s="126" t="s">
        <v>1360</v>
      </c>
      <c r="L47" s="133" t="s">
        <v>1360</v>
      </c>
      <c r="M47" s="40" t="s">
        <v>1360</v>
      </c>
      <c r="N47" s="19" t="e">
        <f t="shared" si="5"/>
        <v>#VALUE!</v>
      </c>
      <c r="O47" s="131"/>
      <c r="P47" s="131"/>
      <c r="Q47" s="19" t="e">
        <f t="shared" si="6"/>
        <v>#VALUE!</v>
      </c>
      <c r="R47" s="19" t="e">
        <f t="shared" si="7"/>
        <v>#VALUE!</v>
      </c>
      <c r="S47" s="48"/>
      <c r="T47" s="19" t="e">
        <f t="shared" si="8"/>
        <v>#VALUE!</v>
      </c>
      <c r="U47" s="39"/>
    </row>
    <row r="48" spans="2:21">
      <c r="B48" s="143" t="s">
        <v>1360</v>
      </c>
      <c r="C48" s="135" t="s">
        <v>1360</v>
      </c>
      <c r="D48" s="39" t="s">
        <v>1360</v>
      </c>
      <c r="E48" s="133" t="s">
        <v>1360</v>
      </c>
      <c r="F48" s="144" t="s">
        <v>1360</v>
      </c>
      <c r="G48" s="132" t="s">
        <v>1360</v>
      </c>
      <c r="H48" s="39" t="s">
        <v>1360</v>
      </c>
      <c r="I48" s="39" t="s">
        <v>1360</v>
      </c>
      <c r="J48" s="39" t="s">
        <v>1360</v>
      </c>
      <c r="K48" s="126" t="s">
        <v>1360</v>
      </c>
      <c r="L48" s="133" t="s">
        <v>1360</v>
      </c>
      <c r="M48" s="40" t="s">
        <v>1360</v>
      </c>
      <c r="N48" s="19" t="e">
        <f t="shared" si="5"/>
        <v>#VALUE!</v>
      </c>
      <c r="O48" s="131"/>
      <c r="P48" s="131"/>
      <c r="Q48" s="19" t="e">
        <f t="shared" si="6"/>
        <v>#VALUE!</v>
      </c>
      <c r="R48" s="19" t="e">
        <f t="shared" si="7"/>
        <v>#VALUE!</v>
      </c>
      <c r="S48" s="48"/>
      <c r="T48" s="19" t="e">
        <f t="shared" si="8"/>
        <v>#VALUE!</v>
      </c>
      <c r="U48" s="39"/>
    </row>
    <row r="49" spans="2:21">
      <c r="B49" s="143" t="s">
        <v>1360</v>
      </c>
      <c r="C49" s="135" t="s">
        <v>1360</v>
      </c>
      <c r="D49" s="39" t="s">
        <v>1360</v>
      </c>
      <c r="E49" s="133" t="s">
        <v>1360</v>
      </c>
      <c r="F49" s="144" t="s">
        <v>1360</v>
      </c>
      <c r="G49" s="132" t="s">
        <v>1360</v>
      </c>
      <c r="H49" s="39" t="s">
        <v>1360</v>
      </c>
      <c r="I49" s="39" t="s">
        <v>1360</v>
      </c>
      <c r="J49" s="39" t="s">
        <v>1360</v>
      </c>
      <c r="K49" s="126" t="s">
        <v>1360</v>
      </c>
      <c r="L49" s="133" t="s">
        <v>1360</v>
      </c>
      <c r="M49" s="40" t="s">
        <v>1360</v>
      </c>
      <c r="N49" s="19" t="e">
        <f t="shared" si="5"/>
        <v>#VALUE!</v>
      </c>
      <c r="O49" s="131"/>
      <c r="P49" s="131"/>
      <c r="Q49" s="19" t="e">
        <f t="shared" si="6"/>
        <v>#VALUE!</v>
      </c>
      <c r="R49" s="19" t="e">
        <f t="shared" si="7"/>
        <v>#VALUE!</v>
      </c>
      <c r="S49" s="48"/>
      <c r="T49" s="19" t="e">
        <f t="shared" si="8"/>
        <v>#VALUE!</v>
      </c>
      <c r="U49" s="39"/>
    </row>
    <row r="50" spans="2:21">
      <c r="B50" s="143" t="s">
        <v>1360</v>
      </c>
      <c r="C50" s="135" t="s">
        <v>1360</v>
      </c>
      <c r="D50" s="39" t="s">
        <v>1360</v>
      </c>
      <c r="E50" s="133" t="s">
        <v>1360</v>
      </c>
      <c r="F50" s="144" t="s">
        <v>1360</v>
      </c>
      <c r="G50" s="132" t="s">
        <v>1360</v>
      </c>
      <c r="H50" s="39" t="s">
        <v>1360</v>
      </c>
      <c r="I50" s="39" t="s">
        <v>1360</v>
      </c>
      <c r="J50" s="39" t="s">
        <v>1360</v>
      </c>
      <c r="K50" s="126" t="s">
        <v>1360</v>
      </c>
      <c r="L50" s="133" t="s">
        <v>1360</v>
      </c>
      <c r="M50" s="40" t="s">
        <v>1360</v>
      </c>
      <c r="N50" s="19" t="e">
        <f t="shared" si="5"/>
        <v>#VALUE!</v>
      </c>
      <c r="O50" s="131"/>
      <c r="P50" s="131"/>
      <c r="Q50" s="19" t="e">
        <f t="shared" si="6"/>
        <v>#VALUE!</v>
      </c>
      <c r="R50" s="19" t="e">
        <f t="shared" si="7"/>
        <v>#VALUE!</v>
      </c>
      <c r="S50" s="48"/>
      <c r="T50" s="19" t="e">
        <f t="shared" si="8"/>
        <v>#VALUE!</v>
      </c>
      <c r="U50" s="39"/>
    </row>
    <row r="51" spans="2:21">
      <c r="B51" s="143" t="s">
        <v>1360</v>
      </c>
      <c r="C51" s="135" t="s">
        <v>1360</v>
      </c>
      <c r="D51" s="39" t="s">
        <v>1360</v>
      </c>
      <c r="E51" s="133" t="s">
        <v>1360</v>
      </c>
      <c r="F51" s="144" t="s">
        <v>1360</v>
      </c>
      <c r="G51" s="132" t="s">
        <v>1360</v>
      </c>
      <c r="H51" s="39" t="s">
        <v>1360</v>
      </c>
      <c r="I51" s="39" t="s">
        <v>1360</v>
      </c>
      <c r="J51" s="39" t="s">
        <v>1360</v>
      </c>
      <c r="K51" s="126" t="s">
        <v>1360</v>
      </c>
      <c r="L51" s="133" t="s">
        <v>1360</v>
      </c>
      <c r="M51" s="40" t="s">
        <v>1360</v>
      </c>
      <c r="N51" s="19" t="e">
        <f t="shared" si="5"/>
        <v>#VALUE!</v>
      </c>
      <c r="O51" s="131"/>
      <c r="P51" s="131"/>
      <c r="Q51" s="19" t="e">
        <f t="shared" si="6"/>
        <v>#VALUE!</v>
      </c>
      <c r="R51" s="19" t="e">
        <f t="shared" si="7"/>
        <v>#VALUE!</v>
      </c>
      <c r="S51" s="48"/>
      <c r="T51" s="19" t="e">
        <f t="shared" si="8"/>
        <v>#VALUE!</v>
      </c>
      <c r="U51" s="39"/>
    </row>
    <row r="52" spans="2:21">
      <c r="B52" s="143" t="s">
        <v>1360</v>
      </c>
      <c r="C52" s="135" t="s">
        <v>1360</v>
      </c>
      <c r="D52" s="39" t="s">
        <v>1360</v>
      </c>
      <c r="E52" s="133" t="s">
        <v>1360</v>
      </c>
      <c r="F52" s="144" t="s">
        <v>1360</v>
      </c>
      <c r="G52" s="132" t="s">
        <v>1360</v>
      </c>
      <c r="H52" s="39" t="s">
        <v>1360</v>
      </c>
      <c r="I52" s="39" t="s">
        <v>1360</v>
      </c>
      <c r="J52" s="39" t="s">
        <v>1360</v>
      </c>
      <c r="K52" s="126" t="s">
        <v>1360</v>
      </c>
      <c r="L52" s="133" t="s">
        <v>1360</v>
      </c>
      <c r="M52" s="40" t="s">
        <v>1360</v>
      </c>
      <c r="N52" s="19" t="e">
        <f t="shared" si="5"/>
        <v>#VALUE!</v>
      </c>
      <c r="O52" s="131"/>
      <c r="P52" s="131"/>
      <c r="Q52" s="19" t="e">
        <f t="shared" si="6"/>
        <v>#VALUE!</v>
      </c>
      <c r="R52" s="19" t="e">
        <f t="shared" si="7"/>
        <v>#VALUE!</v>
      </c>
      <c r="S52" s="48"/>
      <c r="T52" s="19" t="e">
        <f t="shared" si="8"/>
        <v>#VALUE!</v>
      </c>
      <c r="U52" s="39"/>
    </row>
    <row r="53" spans="2:21">
      <c r="B53" s="143" t="s">
        <v>1360</v>
      </c>
      <c r="C53" s="135" t="s">
        <v>1360</v>
      </c>
      <c r="D53" s="39" t="s">
        <v>1360</v>
      </c>
      <c r="E53" s="133" t="s">
        <v>1360</v>
      </c>
      <c r="F53" s="144" t="s">
        <v>1360</v>
      </c>
      <c r="G53" s="132" t="s">
        <v>1360</v>
      </c>
      <c r="H53" s="39" t="s">
        <v>1360</v>
      </c>
      <c r="I53" s="39" t="s">
        <v>1360</v>
      </c>
      <c r="J53" s="39" t="s">
        <v>1360</v>
      </c>
      <c r="K53" s="126" t="s">
        <v>1360</v>
      </c>
      <c r="L53" s="133" t="s">
        <v>1360</v>
      </c>
      <c r="M53" s="40" t="s">
        <v>1360</v>
      </c>
      <c r="N53" s="19" t="e">
        <f t="shared" si="5"/>
        <v>#VALUE!</v>
      </c>
      <c r="O53" s="131"/>
      <c r="P53" s="131"/>
      <c r="Q53" s="19" t="e">
        <f t="shared" si="6"/>
        <v>#VALUE!</v>
      </c>
      <c r="R53" s="19" t="e">
        <f t="shared" si="7"/>
        <v>#VALUE!</v>
      </c>
      <c r="S53" s="48"/>
      <c r="T53" s="19" t="e">
        <f t="shared" si="8"/>
        <v>#VALUE!</v>
      </c>
      <c r="U53" s="39"/>
    </row>
    <row r="54" spans="2:21">
      <c r="B54" s="143" t="s">
        <v>1360</v>
      </c>
      <c r="C54" s="135" t="s">
        <v>1360</v>
      </c>
      <c r="D54" s="39" t="s">
        <v>1360</v>
      </c>
      <c r="E54" s="133" t="s">
        <v>1360</v>
      </c>
      <c r="F54" s="144" t="s">
        <v>1360</v>
      </c>
      <c r="G54" s="132" t="s">
        <v>1360</v>
      </c>
      <c r="H54" s="39" t="s">
        <v>1360</v>
      </c>
      <c r="I54" s="39" t="s">
        <v>1360</v>
      </c>
      <c r="J54" s="39" t="s">
        <v>1360</v>
      </c>
      <c r="K54" s="126" t="s">
        <v>1360</v>
      </c>
      <c r="L54" s="133" t="s">
        <v>1360</v>
      </c>
      <c r="M54" s="40" t="s">
        <v>1360</v>
      </c>
      <c r="N54" s="19" t="e">
        <f t="shared" si="5"/>
        <v>#VALUE!</v>
      </c>
      <c r="O54" s="131"/>
      <c r="P54" s="131"/>
      <c r="Q54" s="19" t="e">
        <f t="shared" si="6"/>
        <v>#VALUE!</v>
      </c>
      <c r="R54" s="19" t="e">
        <f t="shared" si="7"/>
        <v>#VALUE!</v>
      </c>
      <c r="S54" s="48"/>
      <c r="T54" s="19" t="e">
        <f t="shared" si="8"/>
        <v>#VALUE!</v>
      </c>
      <c r="U54" s="39"/>
    </row>
    <row r="55" spans="2:21">
      <c r="B55" s="143" t="s">
        <v>1360</v>
      </c>
      <c r="C55" s="135" t="s">
        <v>1360</v>
      </c>
      <c r="D55" s="39" t="s">
        <v>1360</v>
      </c>
      <c r="E55" s="133" t="s">
        <v>1360</v>
      </c>
      <c r="F55" s="144" t="s">
        <v>1360</v>
      </c>
      <c r="G55" s="132" t="s">
        <v>1360</v>
      </c>
      <c r="H55" s="39" t="s">
        <v>1360</v>
      </c>
      <c r="I55" s="39" t="s">
        <v>1360</v>
      </c>
      <c r="J55" s="39" t="s">
        <v>1360</v>
      </c>
      <c r="K55" s="126" t="s">
        <v>1360</v>
      </c>
      <c r="L55" s="133" t="s">
        <v>1360</v>
      </c>
      <c r="M55" s="40" t="s">
        <v>1360</v>
      </c>
      <c r="N55" s="19" t="e">
        <f t="shared" si="5"/>
        <v>#VALUE!</v>
      </c>
      <c r="O55" s="131"/>
      <c r="P55" s="131"/>
      <c r="Q55" s="19" t="e">
        <f t="shared" si="6"/>
        <v>#VALUE!</v>
      </c>
      <c r="R55" s="19" t="e">
        <f t="shared" si="7"/>
        <v>#VALUE!</v>
      </c>
      <c r="S55" s="48"/>
      <c r="T55" s="19" t="e">
        <f t="shared" si="8"/>
        <v>#VALUE!</v>
      </c>
      <c r="U55" s="39"/>
    </row>
    <row r="56" spans="2:21">
      <c r="B56" s="143" t="s">
        <v>1360</v>
      </c>
      <c r="C56" s="135" t="s">
        <v>1360</v>
      </c>
      <c r="D56" s="39" t="s">
        <v>1360</v>
      </c>
      <c r="E56" s="133" t="s">
        <v>1360</v>
      </c>
      <c r="F56" s="144" t="s">
        <v>1360</v>
      </c>
      <c r="G56" s="132" t="s">
        <v>1360</v>
      </c>
      <c r="H56" s="39" t="s">
        <v>1360</v>
      </c>
      <c r="I56" s="39" t="s">
        <v>1360</v>
      </c>
      <c r="J56" s="39" t="s">
        <v>1360</v>
      </c>
      <c r="K56" s="126" t="s">
        <v>1360</v>
      </c>
      <c r="L56" s="133" t="s">
        <v>1360</v>
      </c>
      <c r="M56" s="40" t="s">
        <v>1360</v>
      </c>
      <c r="N56" s="19" t="e">
        <f t="shared" si="5"/>
        <v>#VALUE!</v>
      </c>
      <c r="O56" s="131"/>
      <c r="P56" s="131"/>
      <c r="Q56" s="19" t="e">
        <f t="shared" si="6"/>
        <v>#VALUE!</v>
      </c>
      <c r="R56" s="19" t="e">
        <f t="shared" si="7"/>
        <v>#VALUE!</v>
      </c>
      <c r="S56" s="48"/>
      <c r="T56" s="19" t="e">
        <f t="shared" si="8"/>
        <v>#VALUE!</v>
      </c>
      <c r="U56" s="39"/>
    </row>
    <row r="57" spans="2:21">
      <c r="B57" s="143" t="s">
        <v>1360</v>
      </c>
      <c r="C57" s="135" t="s">
        <v>1360</v>
      </c>
      <c r="D57" s="39" t="s">
        <v>1360</v>
      </c>
      <c r="E57" s="133" t="s">
        <v>1360</v>
      </c>
      <c r="F57" s="144" t="s">
        <v>1360</v>
      </c>
      <c r="G57" s="132" t="s">
        <v>1360</v>
      </c>
      <c r="H57" s="39" t="s">
        <v>1360</v>
      </c>
      <c r="I57" s="39" t="s">
        <v>1360</v>
      </c>
      <c r="J57" s="39" t="s">
        <v>1360</v>
      </c>
      <c r="K57" s="126" t="s">
        <v>1360</v>
      </c>
      <c r="L57" s="133" t="s">
        <v>1360</v>
      </c>
      <c r="M57" s="40" t="s">
        <v>1360</v>
      </c>
      <c r="N57" s="19" t="e">
        <f t="shared" si="5"/>
        <v>#VALUE!</v>
      </c>
      <c r="O57" s="131"/>
      <c r="P57" s="131"/>
      <c r="Q57" s="19" t="e">
        <f t="shared" si="6"/>
        <v>#VALUE!</v>
      </c>
      <c r="R57" s="19" t="e">
        <f t="shared" si="7"/>
        <v>#VALUE!</v>
      </c>
      <c r="S57" s="48"/>
      <c r="T57" s="19" t="e">
        <f t="shared" si="8"/>
        <v>#VALUE!</v>
      </c>
      <c r="U57" s="39"/>
    </row>
    <row r="58" spans="2:21">
      <c r="B58" s="143" t="s">
        <v>1360</v>
      </c>
      <c r="C58" s="135" t="s">
        <v>1360</v>
      </c>
      <c r="D58" s="39" t="s">
        <v>1360</v>
      </c>
      <c r="E58" s="133" t="s">
        <v>1360</v>
      </c>
      <c r="F58" s="144" t="s">
        <v>1360</v>
      </c>
      <c r="G58" s="132" t="s">
        <v>1360</v>
      </c>
      <c r="H58" s="39" t="s">
        <v>1360</v>
      </c>
      <c r="I58" s="39" t="s">
        <v>1360</v>
      </c>
      <c r="J58" s="39" t="s">
        <v>1360</v>
      </c>
      <c r="K58" s="126" t="s">
        <v>1360</v>
      </c>
      <c r="L58" s="133" t="s">
        <v>1360</v>
      </c>
      <c r="M58" s="40" t="s">
        <v>1360</v>
      </c>
      <c r="N58" s="19" t="e">
        <f t="shared" si="5"/>
        <v>#VALUE!</v>
      </c>
      <c r="O58" s="131"/>
      <c r="P58" s="131"/>
      <c r="Q58" s="19" t="e">
        <f t="shared" si="6"/>
        <v>#VALUE!</v>
      </c>
      <c r="R58" s="19" t="e">
        <f t="shared" si="7"/>
        <v>#VALUE!</v>
      </c>
      <c r="S58" s="48"/>
      <c r="T58" s="19" t="e">
        <f t="shared" si="8"/>
        <v>#VALUE!</v>
      </c>
      <c r="U58" s="39"/>
    </row>
    <row r="59" spans="2:21">
      <c r="B59" s="143" t="s">
        <v>1360</v>
      </c>
      <c r="C59" s="135" t="s">
        <v>1360</v>
      </c>
      <c r="D59" s="39" t="s">
        <v>1360</v>
      </c>
      <c r="E59" s="133" t="s">
        <v>1360</v>
      </c>
      <c r="F59" s="144" t="s">
        <v>1360</v>
      </c>
      <c r="G59" s="132" t="s">
        <v>1360</v>
      </c>
      <c r="H59" s="39" t="s">
        <v>1360</v>
      </c>
      <c r="I59" s="39" t="s">
        <v>1360</v>
      </c>
      <c r="J59" s="39" t="s">
        <v>1360</v>
      </c>
      <c r="K59" s="126" t="s">
        <v>1360</v>
      </c>
      <c r="L59" s="133" t="s">
        <v>1360</v>
      </c>
      <c r="M59" s="40" t="s">
        <v>1360</v>
      </c>
      <c r="N59" s="19" t="e">
        <f t="shared" si="5"/>
        <v>#VALUE!</v>
      </c>
      <c r="O59" s="131"/>
      <c r="P59" s="131"/>
      <c r="Q59" s="19" t="e">
        <f t="shared" si="6"/>
        <v>#VALUE!</v>
      </c>
      <c r="R59" s="19" t="e">
        <f t="shared" si="7"/>
        <v>#VALUE!</v>
      </c>
      <c r="S59" s="48"/>
      <c r="T59" s="19" t="e">
        <f t="shared" si="8"/>
        <v>#VALUE!</v>
      </c>
      <c r="U59" s="39"/>
    </row>
    <row r="60" spans="2:21">
      <c r="B60" s="143" t="s">
        <v>1360</v>
      </c>
      <c r="C60" s="135" t="s">
        <v>1360</v>
      </c>
      <c r="D60" s="39" t="s">
        <v>1360</v>
      </c>
      <c r="E60" s="133" t="s">
        <v>1360</v>
      </c>
      <c r="F60" s="144" t="s">
        <v>1360</v>
      </c>
      <c r="G60" s="132" t="s">
        <v>1360</v>
      </c>
      <c r="H60" s="39" t="s">
        <v>1360</v>
      </c>
      <c r="I60" s="39" t="s">
        <v>1360</v>
      </c>
      <c r="J60" s="39" t="s">
        <v>1360</v>
      </c>
      <c r="K60" s="126" t="s">
        <v>1360</v>
      </c>
      <c r="L60" s="133" t="s">
        <v>1360</v>
      </c>
      <c r="M60" s="40" t="s">
        <v>1360</v>
      </c>
      <c r="N60" s="19" t="e">
        <f t="shared" si="5"/>
        <v>#VALUE!</v>
      </c>
      <c r="O60" s="131"/>
      <c r="P60" s="131"/>
      <c r="Q60" s="19" t="e">
        <f t="shared" si="6"/>
        <v>#VALUE!</v>
      </c>
      <c r="R60" s="19" t="e">
        <f t="shared" si="7"/>
        <v>#VALUE!</v>
      </c>
      <c r="S60" s="48"/>
      <c r="T60" s="19" t="e">
        <f t="shared" si="8"/>
        <v>#VALUE!</v>
      </c>
      <c r="U60" s="39"/>
    </row>
    <row r="61" spans="2:21">
      <c r="B61" s="143" t="s">
        <v>1360</v>
      </c>
      <c r="C61" s="135" t="s">
        <v>1360</v>
      </c>
      <c r="D61" s="39" t="s">
        <v>1360</v>
      </c>
      <c r="E61" s="133" t="s">
        <v>1360</v>
      </c>
      <c r="F61" s="144" t="s">
        <v>1360</v>
      </c>
      <c r="G61" s="132" t="s">
        <v>1360</v>
      </c>
      <c r="H61" s="39" t="s">
        <v>1360</v>
      </c>
      <c r="I61" s="39" t="s">
        <v>1360</v>
      </c>
      <c r="J61" s="39" t="s">
        <v>1360</v>
      </c>
      <c r="K61" s="126" t="s">
        <v>1360</v>
      </c>
      <c r="L61" s="133" t="s">
        <v>1360</v>
      </c>
      <c r="M61" s="40" t="s">
        <v>1360</v>
      </c>
      <c r="N61" s="19" t="e">
        <f t="shared" si="5"/>
        <v>#VALUE!</v>
      </c>
      <c r="O61" s="131"/>
      <c r="P61" s="131"/>
      <c r="Q61" s="19" t="e">
        <f t="shared" si="6"/>
        <v>#VALUE!</v>
      </c>
      <c r="R61" s="19" t="e">
        <f t="shared" si="7"/>
        <v>#VALUE!</v>
      </c>
      <c r="S61" s="48"/>
      <c r="T61" s="19" t="e">
        <f t="shared" si="8"/>
        <v>#VALUE!</v>
      </c>
      <c r="U61" s="39"/>
    </row>
    <row r="62" spans="2:21">
      <c r="B62" s="143" t="s">
        <v>1360</v>
      </c>
      <c r="C62" s="135" t="s">
        <v>1360</v>
      </c>
      <c r="D62" s="39" t="s">
        <v>1360</v>
      </c>
      <c r="E62" s="133" t="s">
        <v>1360</v>
      </c>
      <c r="F62" s="144" t="s">
        <v>1360</v>
      </c>
      <c r="G62" s="132" t="s">
        <v>1360</v>
      </c>
      <c r="H62" s="39" t="s">
        <v>1360</v>
      </c>
      <c r="I62" s="39" t="s">
        <v>1360</v>
      </c>
      <c r="J62" s="39" t="s">
        <v>1360</v>
      </c>
      <c r="K62" s="126" t="s">
        <v>1360</v>
      </c>
      <c r="L62" s="133" t="s">
        <v>1360</v>
      </c>
      <c r="M62" s="40" t="s">
        <v>1360</v>
      </c>
      <c r="N62" s="19" t="e">
        <f t="shared" si="5"/>
        <v>#VALUE!</v>
      </c>
      <c r="O62" s="131"/>
      <c r="P62" s="131"/>
      <c r="Q62" s="19" t="e">
        <f t="shared" si="6"/>
        <v>#VALUE!</v>
      </c>
      <c r="R62" s="19" t="e">
        <f t="shared" si="7"/>
        <v>#VALUE!</v>
      </c>
      <c r="S62" s="48"/>
      <c r="T62" s="19" t="e">
        <f t="shared" si="8"/>
        <v>#VALUE!</v>
      </c>
      <c r="U62" s="39"/>
    </row>
    <row r="63" spans="2:21">
      <c r="B63" s="143" t="s">
        <v>1360</v>
      </c>
      <c r="C63" s="135" t="s">
        <v>1360</v>
      </c>
      <c r="D63" s="39" t="s">
        <v>1360</v>
      </c>
      <c r="E63" s="133" t="s">
        <v>1360</v>
      </c>
      <c r="F63" s="144" t="s">
        <v>1360</v>
      </c>
      <c r="G63" s="132" t="s">
        <v>1360</v>
      </c>
      <c r="H63" s="39" t="s">
        <v>1360</v>
      </c>
      <c r="I63" s="39" t="s">
        <v>1360</v>
      </c>
      <c r="J63" s="39" t="s">
        <v>1360</v>
      </c>
      <c r="K63" s="126" t="s">
        <v>1360</v>
      </c>
      <c r="L63" s="133" t="s">
        <v>1360</v>
      </c>
      <c r="M63" s="40" t="s">
        <v>1360</v>
      </c>
      <c r="N63" s="19" t="e">
        <f t="shared" si="5"/>
        <v>#VALUE!</v>
      </c>
      <c r="O63" s="131"/>
      <c r="P63" s="131"/>
      <c r="Q63" s="19" t="e">
        <f t="shared" si="6"/>
        <v>#VALUE!</v>
      </c>
      <c r="R63" s="19" t="e">
        <f t="shared" si="7"/>
        <v>#VALUE!</v>
      </c>
      <c r="S63" s="48"/>
      <c r="T63" s="19" t="e">
        <f t="shared" si="8"/>
        <v>#VALUE!</v>
      </c>
      <c r="U63" s="39"/>
    </row>
    <row r="64" spans="2:21">
      <c r="B64" s="143" t="s">
        <v>1360</v>
      </c>
      <c r="C64" s="135" t="s">
        <v>1360</v>
      </c>
      <c r="D64" s="39" t="s">
        <v>1360</v>
      </c>
      <c r="E64" s="133" t="s">
        <v>1360</v>
      </c>
      <c r="F64" s="144" t="s">
        <v>1360</v>
      </c>
      <c r="G64" s="132" t="s">
        <v>1360</v>
      </c>
      <c r="H64" s="39" t="s">
        <v>1360</v>
      </c>
      <c r="I64" s="39" t="s">
        <v>1360</v>
      </c>
      <c r="J64" s="39" t="s">
        <v>1360</v>
      </c>
      <c r="K64" s="126" t="s">
        <v>1360</v>
      </c>
      <c r="L64" s="133" t="s">
        <v>1360</v>
      </c>
      <c r="M64" s="40" t="s">
        <v>1360</v>
      </c>
      <c r="N64" s="19" t="e">
        <f t="shared" si="5"/>
        <v>#VALUE!</v>
      </c>
      <c r="O64" s="131"/>
      <c r="P64" s="131"/>
      <c r="Q64" s="19" t="e">
        <f t="shared" si="6"/>
        <v>#VALUE!</v>
      </c>
      <c r="R64" s="19" t="e">
        <f t="shared" si="7"/>
        <v>#VALUE!</v>
      </c>
      <c r="S64" s="48"/>
      <c r="T64" s="19" t="e">
        <f t="shared" si="8"/>
        <v>#VALUE!</v>
      </c>
      <c r="U64" s="39"/>
    </row>
    <row r="65" spans="2:21">
      <c r="B65" s="143" t="s">
        <v>1360</v>
      </c>
      <c r="C65" s="135" t="s">
        <v>1360</v>
      </c>
      <c r="D65" s="39" t="s">
        <v>1360</v>
      </c>
      <c r="E65" s="133" t="s">
        <v>1360</v>
      </c>
      <c r="F65" s="144" t="s">
        <v>1360</v>
      </c>
      <c r="G65" s="132" t="s">
        <v>1360</v>
      </c>
      <c r="H65" s="39" t="s">
        <v>1360</v>
      </c>
      <c r="I65" s="39" t="s">
        <v>1360</v>
      </c>
      <c r="J65" s="39" t="s">
        <v>1360</v>
      </c>
      <c r="K65" s="126" t="s">
        <v>1360</v>
      </c>
      <c r="L65" s="133" t="s">
        <v>1360</v>
      </c>
      <c r="M65" s="40" t="s">
        <v>1360</v>
      </c>
      <c r="N65" s="19" t="e">
        <f t="shared" si="5"/>
        <v>#VALUE!</v>
      </c>
      <c r="O65" s="131"/>
      <c r="P65" s="131"/>
      <c r="Q65" s="19" t="e">
        <f t="shared" si="6"/>
        <v>#VALUE!</v>
      </c>
      <c r="R65" s="19" t="e">
        <f t="shared" si="7"/>
        <v>#VALUE!</v>
      </c>
      <c r="S65" s="48"/>
      <c r="T65" s="19" t="e">
        <f t="shared" si="8"/>
        <v>#VALUE!</v>
      </c>
      <c r="U65" s="39"/>
    </row>
    <row r="66" spans="2:21">
      <c r="B66" s="143" t="s">
        <v>1360</v>
      </c>
      <c r="C66" s="135" t="s">
        <v>1360</v>
      </c>
      <c r="D66" s="39" t="s">
        <v>1360</v>
      </c>
      <c r="E66" s="133" t="s">
        <v>1360</v>
      </c>
      <c r="F66" s="144" t="s">
        <v>1360</v>
      </c>
      <c r="G66" s="132" t="s">
        <v>1360</v>
      </c>
      <c r="H66" s="39" t="s">
        <v>1360</v>
      </c>
      <c r="I66" s="39" t="s">
        <v>1360</v>
      </c>
      <c r="J66" s="39" t="s">
        <v>1360</v>
      </c>
      <c r="K66" s="126" t="s">
        <v>1360</v>
      </c>
      <c r="L66" s="133" t="s">
        <v>1360</v>
      </c>
      <c r="M66" s="40" t="s">
        <v>1360</v>
      </c>
      <c r="N66" s="19" t="e">
        <f t="shared" si="5"/>
        <v>#VALUE!</v>
      </c>
      <c r="O66" s="131"/>
      <c r="P66" s="131"/>
      <c r="Q66" s="19" t="e">
        <f t="shared" si="6"/>
        <v>#VALUE!</v>
      </c>
      <c r="R66" s="19" t="e">
        <f t="shared" si="7"/>
        <v>#VALUE!</v>
      </c>
      <c r="S66" s="48"/>
      <c r="T66" s="19" t="e">
        <f t="shared" si="8"/>
        <v>#VALUE!</v>
      </c>
      <c r="U66" s="39"/>
    </row>
    <row r="67" spans="2:21">
      <c r="B67" s="143" t="s">
        <v>1360</v>
      </c>
      <c r="C67" s="135" t="s">
        <v>1360</v>
      </c>
      <c r="D67" s="39" t="s">
        <v>1360</v>
      </c>
      <c r="E67" s="133" t="s">
        <v>1360</v>
      </c>
      <c r="F67" s="144" t="s">
        <v>1360</v>
      </c>
      <c r="G67" s="132" t="s">
        <v>1360</v>
      </c>
      <c r="H67" s="39" t="s">
        <v>1360</v>
      </c>
      <c r="I67" s="39" t="s">
        <v>1360</v>
      </c>
      <c r="J67" s="39" t="s">
        <v>1360</v>
      </c>
      <c r="K67" s="126" t="s">
        <v>1360</v>
      </c>
      <c r="L67" s="133" t="s">
        <v>1360</v>
      </c>
      <c r="M67" s="40" t="s">
        <v>1360</v>
      </c>
      <c r="N67" s="19" t="e">
        <f t="shared" si="5"/>
        <v>#VALUE!</v>
      </c>
      <c r="O67" s="131"/>
      <c r="P67" s="131"/>
      <c r="Q67" s="19" t="e">
        <f t="shared" si="6"/>
        <v>#VALUE!</v>
      </c>
      <c r="R67" s="19" t="e">
        <f t="shared" si="7"/>
        <v>#VALUE!</v>
      </c>
      <c r="S67" s="48"/>
      <c r="T67" s="19" t="e">
        <f t="shared" si="8"/>
        <v>#VALUE!</v>
      </c>
      <c r="U67" s="39"/>
    </row>
    <row r="68" spans="2:21">
      <c r="B68" s="143" t="s">
        <v>1360</v>
      </c>
      <c r="C68" s="135" t="s">
        <v>1360</v>
      </c>
      <c r="D68" s="39" t="s">
        <v>1360</v>
      </c>
      <c r="E68" s="133" t="s">
        <v>1360</v>
      </c>
      <c r="F68" s="144" t="s">
        <v>1360</v>
      </c>
      <c r="G68" s="132" t="s">
        <v>1360</v>
      </c>
      <c r="H68" s="39" t="s">
        <v>1360</v>
      </c>
      <c r="I68" s="39" t="s">
        <v>1360</v>
      </c>
      <c r="J68" s="39" t="s">
        <v>1360</v>
      </c>
      <c r="K68" s="126" t="s">
        <v>1360</v>
      </c>
      <c r="L68" s="133" t="s">
        <v>1360</v>
      </c>
      <c r="M68" s="40" t="s">
        <v>1360</v>
      </c>
      <c r="N68" s="19" t="e">
        <f t="shared" si="5"/>
        <v>#VALUE!</v>
      </c>
      <c r="O68" s="131"/>
      <c r="P68" s="131"/>
      <c r="Q68" s="19" t="e">
        <f t="shared" si="6"/>
        <v>#VALUE!</v>
      </c>
      <c r="R68" s="19" t="e">
        <f t="shared" si="7"/>
        <v>#VALUE!</v>
      </c>
      <c r="S68" s="48"/>
      <c r="T68" s="19" t="e">
        <f t="shared" si="8"/>
        <v>#VALUE!</v>
      </c>
      <c r="U68" s="39"/>
    </row>
    <row r="69" spans="2:21">
      <c r="B69" s="143" t="s">
        <v>1360</v>
      </c>
      <c r="C69" s="135" t="s">
        <v>1360</v>
      </c>
      <c r="D69" s="39" t="s">
        <v>1360</v>
      </c>
      <c r="E69" s="133" t="s">
        <v>1360</v>
      </c>
      <c r="F69" s="144" t="s">
        <v>1360</v>
      </c>
      <c r="G69" s="132" t="s">
        <v>1360</v>
      </c>
      <c r="H69" s="39" t="s">
        <v>1360</v>
      </c>
      <c r="I69" s="39" t="s">
        <v>1360</v>
      </c>
      <c r="J69" s="39" t="s">
        <v>1360</v>
      </c>
      <c r="K69" s="126" t="s">
        <v>1360</v>
      </c>
      <c r="L69" s="133" t="s">
        <v>1360</v>
      </c>
      <c r="M69" s="40" t="s">
        <v>1360</v>
      </c>
      <c r="N69" s="19" t="e">
        <f t="shared" si="5"/>
        <v>#VALUE!</v>
      </c>
      <c r="O69" s="131"/>
      <c r="P69" s="131"/>
      <c r="Q69" s="19" t="e">
        <f t="shared" si="6"/>
        <v>#VALUE!</v>
      </c>
      <c r="R69" s="19" t="e">
        <f t="shared" si="7"/>
        <v>#VALUE!</v>
      </c>
      <c r="S69" s="48"/>
      <c r="T69" s="19" t="e">
        <f t="shared" si="8"/>
        <v>#VALUE!</v>
      </c>
      <c r="U69" s="39"/>
    </row>
    <row r="70" spans="2:21">
      <c r="B70" s="143" t="s">
        <v>1360</v>
      </c>
      <c r="C70" s="135" t="s">
        <v>1360</v>
      </c>
      <c r="D70" s="39" t="s">
        <v>1360</v>
      </c>
      <c r="E70" s="133" t="s">
        <v>1360</v>
      </c>
      <c r="F70" s="144" t="s">
        <v>1360</v>
      </c>
      <c r="G70" s="132" t="s">
        <v>1360</v>
      </c>
      <c r="H70" s="39" t="s">
        <v>1360</v>
      </c>
      <c r="I70" s="39" t="s">
        <v>1360</v>
      </c>
      <c r="J70" s="39" t="s">
        <v>1360</v>
      </c>
      <c r="K70" s="126" t="s">
        <v>1360</v>
      </c>
      <c r="L70" s="133" t="s">
        <v>1360</v>
      </c>
      <c r="M70" s="40" t="s">
        <v>1360</v>
      </c>
      <c r="N70" s="19" t="e">
        <f t="shared" si="5"/>
        <v>#VALUE!</v>
      </c>
      <c r="O70" s="131"/>
      <c r="P70" s="131"/>
      <c r="Q70" s="19" t="e">
        <f t="shared" si="6"/>
        <v>#VALUE!</v>
      </c>
      <c r="R70" s="19" t="e">
        <f t="shared" si="7"/>
        <v>#VALUE!</v>
      </c>
      <c r="S70" s="48"/>
      <c r="T70" s="19" t="e">
        <f t="shared" si="8"/>
        <v>#VALUE!</v>
      </c>
      <c r="U70" s="39"/>
    </row>
    <row r="71" spans="2:21">
      <c r="B71" s="143" t="s">
        <v>1360</v>
      </c>
      <c r="C71" s="135" t="s">
        <v>1360</v>
      </c>
      <c r="D71" s="39" t="s">
        <v>1360</v>
      </c>
      <c r="E71" s="133" t="s">
        <v>1360</v>
      </c>
      <c r="F71" s="144" t="s">
        <v>1360</v>
      </c>
      <c r="G71" s="132" t="s">
        <v>1360</v>
      </c>
      <c r="H71" s="39" t="s">
        <v>1360</v>
      </c>
      <c r="I71" s="39" t="s">
        <v>1360</v>
      </c>
      <c r="J71" s="39" t="s">
        <v>1360</v>
      </c>
      <c r="K71" s="126" t="s">
        <v>1360</v>
      </c>
      <c r="L71" s="133" t="s">
        <v>1360</v>
      </c>
      <c r="M71" s="40" t="s">
        <v>1360</v>
      </c>
      <c r="N71" s="19" t="e">
        <f t="shared" si="5"/>
        <v>#VALUE!</v>
      </c>
      <c r="O71" s="131"/>
      <c r="P71" s="131"/>
      <c r="Q71" s="19" t="e">
        <f t="shared" si="6"/>
        <v>#VALUE!</v>
      </c>
      <c r="R71" s="19" t="e">
        <f t="shared" si="7"/>
        <v>#VALUE!</v>
      </c>
      <c r="S71" s="48"/>
      <c r="T71" s="19" t="e">
        <f t="shared" si="8"/>
        <v>#VALUE!</v>
      </c>
      <c r="U71" s="39"/>
    </row>
    <row r="72" spans="2:21">
      <c r="B72" s="143" t="s">
        <v>1360</v>
      </c>
      <c r="C72" s="135" t="s">
        <v>1360</v>
      </c>
      <c r="D72" s="39" t="s">
        <v>1360</v>
      </c>
      <c r="E72" s="133" t="s">
        <v>1360</v>
      </c>
      <c r="F72" s="144" t="s">
        <v>1360</v>
      </c>
      <c r="G72" s="132" t="s">
        <v>1360</v>
      </c>
      <c r="H72" s="39" t="s">
        <v>1360</v>
      </c>
      <c r="I72" s="39" t="s">
        <v>1360</v>
      </c>
      <c r="J72" s="39" t="s">
        <v>1360</v>
      </c>
      <c r="K72" s="126" t="s">
        <v>1360</v>
      </c>
      <c r="L72" s="133" t="s">
        <v>1360</v>
      </c>
      <c r="M72" s="40" t="s">
        <v>1360</v>
      </c>
      <c r="N72" s="19" t="e">
        <f t="shared" si="5"/>
        <v>#VALUE!</v>
      </c>
      <c r="O72" s="131"/>
      <c r="P72" s="131"/>
      <c r="Q72" s="19" t="e">
        <f t="shared" si="6"/>
        <v>#VALUE!</v>
      </c>
      <c r="R72" s="19" t="e">
        <f t="shared" si="7"/>
        <v>#VALUE!</v>
      </c>
      <c r="S72" s="48"/>
      <c r="T72" s="19" t="e">
        <f t="shared" si="8"/>
        <v>#VALUE!</v>
      </c>
      <c r="U72" s="39"/>
    </row>
  </sheetData>
  <mergeCells count="13">
    <mergeCell ref="I2:J2"/>
    <mergeCell ref="N31:S31"/>
    <mergeCell ref="B2:G2"/>
    <mergeCell ref="B31:M32"/>
    <mergeCell ref="B6:G6"/>
    <mergeCell ref="D7:E7"/>
    <mergeCell ref="F7:G7"/>
    <mergeCell ref="B14:G14"/>
    <mergeCell ref="F3:G3"/>
    <mergeCell ref="F4:G4"/>
    <mergeCell ref="I3:J3"/>
    <mergeCell ref="D4:E4"/>
    <mergeCell ref="D3:E3"/>
  </mergeCells>
  <conditionalFormatting sqref="E17:H28 B24:C28 C17:C23">
    <cfRule type="expression" dxfId="4" priority="10">
      <formula>$F$4 ="Mercadoria"</formula>
    </cfRule>
  </conditionalFormatting>
  <conditionalFormatting sqref="L17:L28">
    <cfRule type="expression" dxfId="3" priority="5">
      <formula>$F$4 ="Mercadoria"</formula>
    </cfRule>
  </conditionalFormatting>
  <conditionalFormatting sqref="G17:H28">
    <cfRule type="expression" dxfId="2" priority="4">
      <formula>OR($C$11="Simples Nacional", $C$11="MEI")</formula>
    </cfRule>
  </conditionalFormatting>
  <conditionalFormatting sqref="B17:B23">
    <cfRule type="expression" dxfId="1" priority="1">
      <formula>$F$4 ="Mercadoria"</formula>
    </cfRule>
  </conditionalFormatting>
  <dataValidations xWindow="696" yWindow="617" count="9">
    <dataValidation type="list" allowBlank="1" showInputMessage="1" showErrorMessage="1" sqref="H73:H1048576" xr:uid="{32C17176-ADDA-4F2C-9688-DE5A59F766FD}">
      <formula1>"0 - Nacional, 1 - Importado"</formula1>
    </dataValidation>
    <dataValidation type="list" allowBlank="1" showInputMessage="1" showErrorMessage="1" promptTitle="Regime" prompt="Se a empresa for do Simples Nacional ou Mei, preencher os valores de imposto com o percentual 0._x000a_" sqref="C11" xr:uid="{E68963A0-6A38-4ADF-AEA8-7DA0B5501F97}">
      <formula1>"Simples Nacional,MEI,Lucro Presumido,Lucro Real"</formula1>
    </dataValidation>
    <dataValidation type="list" allowBlank="1" showInputMessage="1" showErrorMessage="1" sqref="F4" xr:uid="{E2416216-9A1F-4984-B498-616FF5F80D26}">
      <formula1>"Serviços,Mercadoria, Serviços e Mercadoria"</formula1>
    </dataValidation>
    <dataValidation allowBlank="1" showInputMessage="1" showErrorMessage="1" promptTitle="Prechimento do percentual" prompt="Se não tiver valor retido informar zero." sqref="E17:H28" xr:uid="{0F305916-926B-4714-94CA-2D7A083EBE2D}"/>
    <dataValidation allowBlank="1" showInputMessage="1" showErrorMessage="1" promptTitle="Preenchimento interno" prompt="Não preencher este campo." sqref="I17:I28" xr:uid="{FA05F0D8-B7A3-4EFE-9451-93D1F8E7A3E7}"/>
    <dataValidation allowBlank="1" showInputMessage="1" showErrorMessage="1" promptTitle="Preenchimento obrigatório" prompt="Informe o CNPJ sem pontos, barras ou traços. Após pressionar Enter, os demais campos serão preenchidos automaticamente pela macro.&quot;" sqref="C8" xr:uid="{89F0EBB5-A2E4-425C-99AD-98E315BCFB81}"/>
    <dataValidation type="list" allowBlank="1" showInputMessage="1" showErrorMessage="1" sqref="J34:J72" xr:uid="{C044D518-F931-4F74-B8AD-BDBF697CA0B6}">
      <formula1>"Ativo Fixo,Uso ou Consumo,Industrialização,Comercialização"</formula1>
    </dataValidation>
    <dataValidation allowBlank="1" showInputMessage="1" showErrorMessage="1" promptTitle="Exceção" prompt="Se não houver exceção preencher com NA" sqref="L34:L72" xr:uid="{0FD31E17-C9D4-4F44-90FF-C2C088B2E49E}"/>
    <dataValidation allowBlank="1" showInputMessage="1" showErrorMessage="1" prompt="Se não tiver código CEST prencher com zero" sqref="I34:I72" xr:uid="{578D15D9-7D97-4FDA-B014-7330F288499C}"/>
  </dataValidations>
  <pageMargins left="0.511811024" right="0.511811024" top="0.78740157499999996" bottom="0.78740157499999996" header="0.31496062000000002" footer="0.31496062000000002"/>
  <pageSetup paperSize="9" scale="32" orientation="portrait" r:id="rId1"/>
  <drawing r:id="rId2"/>
  <extLst>
    <ext xmlns:x14="http://schemas.microsoft.com/office/spreadsheetml/2009/9/main" uri="{CCE6A557-97BC-4b89-ADB6-D9C93CAAB3DF}">
      <x14:dataValidations xmlns:xm="http://schemas.microsoft.com/office/excel/2006/main" xWindow="696" yWindow="617" count="2">
        <x14:dataValidation type="list" allowBlank="1" showInputMessage="1" showErrorMessage="1" promptTitle="Código federal serviço" prompt="Prechimento obrigatório" xr:uid="{814D3E5F-4F64-41ED-ACC6-C744472EB455}">
          <x14:formula1>
            <xm:f>Codigo_Atividade!$B$1:$B$200</xm:f>
          </x14:formula1>
          <xm:sqref>C17:C28</xm:sqref>
        </x14:dataValidation>
        <x14:dataValidation type="list" allowBlank="1" showInputMessage="1" showErrorMessage="1" xr:uid="{F95319AE-2563-4E2A-9FA7-FC350D6BBF56}">
          <x14:formula1>
            <xm:f>Fliais!$C$2:$C$41</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C22BD-9D76-4BA3-B979-6E660FFEA65A}">
  <sheetPr codeName="Planilha4"/>
  <dimension ref="B5:B47"/>
  <sheetViews>
    <sheetView showGridLines="0" topLeftCell="A31" zoomScaleNormal="100" workbookViewId="0">
      <selection activeCell="C33" sqref="C33"/>
    </sheetView>
  </sheetViews>
  <sheetFormatPr defaultRowHeight="15"/>
  <cols>
    <col min="1" max="1" width="4.85546875" customWidth="1"/>
  </cols>
  <sheetData>
    <row r="5" spans="2:2" ht="18">
      <c r="B5" s="116" t="s">
        <v>1340</v>
      </c>
    </row>
    <row r="6" spans="2:2">
      <c r="B6" s="117"/>
    </row>
    <row r="7" spans="2:2">
      <c r="B7" s="118" t="s">
        <v>1341</v>
      </c>
    </row>
    <row r="8" spans="2:2">
      <c r="B8" s="117"/>
    </row>
    <row r="9" spans="2:2">
      <c r="B9" s="117"/>
    </row>
    <row r="10" spans="2:2">
      <c r="B10" s="119"/>
    </row>
    <row r="11" spans="2:2">
      <c r="B11" s="119" t="s">
        <v>1342</v>
      </c>
    </row>
    <row r="12" spans="2:2">
      <c r="B12" s="119"/>
    </row>
    <row r="13" spans="2:2">
      <c r="B13" s="119" t="s">
        <v>1343</v>
      </c>
    </row>
    <row r="14" spans="2:2">
      <c r="B14" s="119"/>
    </row>
    <row r="15" spans="2:2">
      <c r="B15" s="119" t="s">
        <v>1344</v>
      </c>
    </row>
    <row r="16" spans="2:2">
      <c r="B16" s="117"/>
    </row>
    <row r="17" spans="2:2">
      <c r="B17" s="118" t="s">
        <v>1345</v>
      </c>
    </row>
    <row r="18" spans="2:2">
      <c r="B18" s="117"/>
    </row>
    <row r="19" spans="2:2">
      <c r="B19" s="117"/>
    </row>
    <row r="20" spans="2:2">
      <c r="B20" s="119"/>
    </row>
    <row r="21" spans="2:2">
      <c r="B21" s="119" t="s">
        <v>1346</v>
      </c>
    </row>
    <row r="22" spans="2:2">
      <c r="B22" s="119"/>
    </row>
    <row r="23" spans="2:2">
      <c r="B23" s="120" t="s">
        <v>1347</v>
      </c>
    </row>
    <row r="24" spans="2:2">
      <c r="B24" s="119"/>
    </row>
    <row r="25" spans="2:2">
      <c r="B25" s="119" t="s">
        <v>1348</v>
      </c>
    </row>
    <row r="26" spans="2:2">
      <c r="B26" s="117"/>
    </row>
    <row r="27" spans="2:2">
      <c r="B27" s="118" t="s">
        <v>1349</v>
      </c>
    </row>
    <row r="28" spans="2:2">
      <c r="B28" s="117"/>
    </row>
    <row r="29" spans="2:2">
      <c r="B29" s="117"/>
    </row>
    <row r="30" spans="2:2">
      <c r="B30" s="119"/>
    </row>
    <row r="31" spans="2:2">
      <c r="B31" s="119" t="s">
        <v>1350</v>
      </c>
    </row>
    <row r="32" spans="2:2">
      <c r="B32" s="119"/>
    </row>
    <row r="33" spans="2:2">
      <c r="B33" s="119"/>
    </row>
    <row r="34" spans="2:2">
      <c r="B34" s="121"/>
    </row>
    <row r="35" spans="2:2">
      <c r="B35" s="121" t="s">
        <v>1351</v>
      </c>
    </row>
    <row r="36" spans="2:2">
      <c r="B36" s="121"/>
    </row>
    <row r="37" spans="2:2">
      <c r="B37" s="121" t="s">
        <v>1352</v>
      </c>
    </row>
    <row r="38" spans="2:2">
      <c r="B38" s="117"/>
    </row>
    <row r="39" spans="2:2">
      <c r="B39" s="118" t="s">
        <v>1353</v>
      </c>
    </row>
    <row r="40" spans="2:2">
      <c r="B40" s="117"/>
    </row>
    <row r="41" spans="2:2">
      <c r="B41" s="117"/>
    </row>
    <row r="42" spans="2:2">
      <c r="B42" s="119"/>
    </row>
    <row r="43" spans="2:2">
      <c r="B43" s="119" t="s">
        <v>1354</v>
      </c>
    </row>
    <row r="44" spans="2:2">
      <c r="B44" s="119"/>
    </row>
    <row r="45" spans="2:2">
      <c r="B45" s="119" t="s">
        <v>1355</v>
      </c>
    </row>
    <row r="46" spans="2:2">
      <c r="B46" s="119"/>
    </row>
    <row r="47" spans="2:2">
      <c r="B47" s="119" t="s">
        <v>1356</v>
      </c>
    </row>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075E3-170C-435B-8918-60D7BC41A90C}">
  <sheetPr codeName="Sheet11"/>
  <dimension ref="A1:D200"/>
  <sheetViews>
    <sheetView topLeftCell="A159" workbookViewId="0">
      <selection activeCell="B339" sqref="B339:I340"/>
    </sheetView>
  </sheetViews>
  <sheetFormatPr defaultColWidth="9.140625" defaultRowHeight="12.75"/>
  <cols>
    <col min="1" max="2" width="9.140625" style="30"/>
    <col min="3" max="3" width="255.7109375" style="31" bestFit="1" customWidth="1"/>
    <col min="4" max="4" width="157.5703125" style="31" customWidth="1"/>
    <col min="5" max="16384" width="9.140625" style="30"/>
  </cols>
  <sheetData>
    <row r="1" spans="1:4" ht="15">
      <c r="A1" s="27" t="s">
        <v>140</v>
      </c>
      <c r="B1" s="27" t="s">
        <v>141</v>
      </c>
      <c r="C1" s="28" t="s">
        <v>142</v>
      </c>
      <c r="D1" s="29" t="s">
        <v>143</v>
      </c>
    </row>
    <row r="2" spans="1:4">
      <c r="A2" s="30" t="s">
        <v>144</v>
      </c>
      <c r="B2" s="31" t="s">
        <v>145</v>
      </c>
      <c r="C2" s="30" t="s">
        <v>146</v>
      </c>
      <c r="D2" s="30" t="s">
        <v>147</v>
      </c>
    </row>
    <row r="3" spans="1:4">
      <c r="A3" s="30" t="s">
        <v>148</v>
      </c>
      <c r="B3" s="31" t="s">
        <v>149</v>
      </c>
      <c r="C3" s="30" t="s">
        <v>150</v>
      </c>
      <c r="D3" s="30" t="s">
        <v>151</v>
      </c>
    </row>
    <row r="4" spans="1:4">
      <c r="A4" s="30" t="s">
        <v>152</v>
      </c>
      <c r="B4" s="31" t="s">
        <v>153</v>
      </c>
      <c r="C4" s="30" t="s">
        <v>154</v>
      </c>
      <c r="D4" s="30" t="s">
        <v>154</v>
      </c>
    </row>
    <row r="5" spans="1:4">
      <c r="A5" s="30" t="s">
        <v>155</v>
      </c>
      <c r="B5" s="31" t="s">
        <v>156</v>
      </c>
      <c r="C5" s="30" t="s">
        <v>157</v>
      </c>
      <c r="D5" s="30" t="s">
        <v>158</v>
      </c>
    </row>
    <row r="6" spans="1:4">
      <c r="A6" s="30" t="s">
        <v>159</v>
      </c>
      <c r="B6" s="31" t="s">
        <v>160</v>
      </c>
      <c r="C6" s="30" t="s">
        <v>161</v>
      </c>
      <c r="D6" s="30" t="s">
        <v>161</v>
      </c>
    </row>
    <row r="7" spans="1:4">
      <c r="A7" s="30" t="s">
        <v>162</v>
      </c>
      <c r="B7" s="31" t="s">
        <v>163</v>
      </c>
      <c r="C7" s="30" t="s">
        <v>164</v>
      </c>
      <c r="D7" s="30" t="s">
        <v>164</v>
      </c>
    </row>
    <row r="8" spans="1:4">
      <c r="A8" s="30" t="s">
        <v>165</v>
      </c>
      <c r="B8" s="31" t="s">
        <v>166</v>
      </c>
      <c r="C8" s="30" t="s">
        <v>167</v>
      </c>
      <c r="D8" s="30" t="s">
        <v>168</v>
      </c>
    </row>
    <row r="9" spans="1:4">
      <c r="A9" s="30" t="s">
        <v>169</v>
      </c>
      <c r="B9" s="31" t="s">
        <v>170</v>
      </c>
      <c r="C9" s="30" t="s">
        <v>171</v>
      </c>
      <c r="D9" s="30" t="s">
        <v>172</v>
      </c>
    </row>
    <row r="10" spans="1:4">
      <c r="A10" s="30" t="s">
        <v>173</v>
      </c>
      <c r="B10" s="31" t="s">
        <v>174</v>
      </c>
      <c r="C10" s="30" t="s">
        <v>175</v>
      </c>
      <c r="D10" s="30" t="s">
        <v>176</v>
      </c>
    </row>
    <row r="11" spans="1:4">
      <c r="A11" s="30" t="s">
        <v>177</v>
      </c>
      <c r="B11" s="31" t="s">
        <v>178</v>
      </c>
      <c r="C11" s="30" t="s">
        <v>179</v>
      </c>
      <c r="D11" s="30" t="s">
        <v>180</v>
      </c>
    </row>
    <row r="12" spans="1:4">
      <c r="A12" s="30" t="s">
        <v>181</v>
      </c>
      <c r="B12" s="31" t="s">
        <v>182</v>
      </c>
      <c r="C12" s="30" t="s">
        <v>183</v>
      </c>
      <c r="D12" s="30" t="s">
        <v>184</v>
      </c>
    </row>
    <row r="13" spans="1:4">
      <c r="A13" s="30" t="s">
        <v>185</v>
      </c>
      <c r="B13" s="31" t="s">
        <v>186</v>
      </c>
      <c r="C13" s="30" t="s">
        <v>187</v>
      </c>
      <c r="D13" s="30" t="s">
        <v>188</v>
      </c>
    </row>
    <row r="14" spans="1:4">
      <c r="A14" s="30" t="s">
        <v>189</v>
      </c>
      <c r="B14" s="31" t="s">
        <v>190</v>
      </c>
      <c r="C14" s="30" t="s">
        <v>191</v>
      </c>
      <c r="D14" s="30" t="s">
        <v>192</v>
      </c>
    </row>
    <row r="15" spans="1:4">
      <c r="A15" s="30" t="s">
        <v>193</v>
      </c>
      <c r="B15" s="31" t="s">
        <v>194</v>
      </c>
      <c r="C15" s="30" t="s">
        <v>195</v>
      </c>
      <c r="D15" s="30" t="s">
        <v>195</v>
      </c>
    </row>
    <row r="16" spans="1:4">
      <c r="A16" s="30" t="s">
        <v>196</v>
      </c>
      <c r="B16" s="31" t="s">
        <v>197</v>
      </c>
      <c r="C16" s="30" t="s">
        <v>198</v>
      </c>
      <c r="D16" s="30" t="s">
        <v>198</v>
      </c>
    </row>
    <row r="17" spans="1:4">
      <c r="A17" s="30" t="s">
        <v>199</v>
      </c>
      <c r="B17" s="31" t="s">
        <v>200</v>
      </c>
      <c r="C17" s="30" t="s">
        <v>201</v>
      </c>
      <c r="D17" s="30" t="s">
        <v>201</v>
      </c>
    </row>
    <row r="18" spans="1:4">
      <c r="A18" s="30" t="s">
        <v>202</v>
      </c>
      <c r="B18" s="31" t="s">
        <v>203</v>
      </c>
      <c r="C18" s="30" t="s">
        <v>204</v>
      </c>
      <c r="D18" s="30" t="s">
        <v>204</v>
      </c>
    </row>
    <row r="19" spans="1:4">
      <c r="A19" s="30" t="s">
        <v>205</v>
      </c>
      <c r="B19" s="31" t="s">
        <v>206</v>
      </c>
      <c r="C19" s="30" t="s">
        <v>207</v>
      </c>
      <c r="D19" s="30" t="s">
        <v>207</v>
      </c>
    </row>
    <row r="20" spans="1:4">
      <c r="A20" s="30" t="s">
        <v>208</v>
      </c>
      <c r="B20" s="31" t="s">
        <v>209</v>
      </c>
      <c r="C20" s="30" t="s">
        <v>210</v>
      </c>
      <c r="D20" s="30" t="s">
        <v>210</v>
      </c>
    </row>
    <row r="21" spans="1:4">
      <c r="A21" s="30" t="s">
        <v>211</v>
      </c>
      <c r="B21" s="31" t="s">
        <v>212</v>
      </c>
      <c r="C21" s="30" t="s">
        <v>213</v>
      </c>
      <c r="D21" s="30" t="s">
        <v>213</v>
      </c>
    </row>
    <row r="22" spans="1:4">
      <c r="A22" s="30" t="s">
        <v>214</v>
      </c>
      <c r="B22" s="31" t="s">
        <v>215</v>
      </c>
      <c r="C22" s="30" t="s">
        <v>216</v>
      </c>
      <c r="D22" s="30" t="s">
        <v>216</v>
      </c>
    </row>
    <row r="23" spans="1:4">
      <c r="A23" s="30" t="s">
        <v>217</v>
      </c>
      <c r="B23" s="31" t="s">
        <v>218</v>
      </c>
      <c r="C23" s="30" t="s">
        <v>219</v>
      </c>
      <c r="D23" s="30" t="s">
        <v>219</v>
      </c>
    </row>
    <row r="24" spans="1:4">
      <c r="A24" s="30" t="s">
        <v>220</v>
      </c>
      <c r="B24" s="31" t="s">
        <v>221</v>
      </c>
      <c r="C24" s="30" t="s">
        <v>222</v>
      </c>
      <c r="D24" s="30" t="s">
        <v>222</v>
      </c>
    </row>
    <row r="25" spans="1:4">
      <c r="A25" s="30" t="s">
        <v>223</v>
      </c>
      <c r="B25" s="31" t="s">
        <v>224</v>
      </c>
      <c r="C25" s="30" t="s">
        <v>225</v>
      </c>
      <c r="D25" s="30" t="s">
        <v>225</v>
      </c>
    </row>
    <row r="26" spans="1:4">
      <c r="A26" s="30" t="s">
        <v>226</v>
      </c>
      <c r="B26" s="31" t="s">
        <v>227</v>
      </c>
      <c r="C26" s="30" t="s">
        <v>228</v>
      </c>
      <c r="D26" s="30" t="s">
        <v>228</v>
      </c>
    </row>
    <row r="27" spans="1:4">
      <c r="A27" s="30" t="s">
        <v>229</v>
      </c>
      <c r="B27" s="31" t="s">
        <v>230</v>
      </c>
      <c r="C27" s="30" t="s">
        <v>231</v>
      </c>
      <c r="D27" s="30" t="s">
        <v>231</v>
      </c>
    </row>
    <row r="28" spans="1:4">
      <c r="A28" s="30" t="s">
        <v>232</v>
      </c>
      <c r="B28" s="31" t="s">
        <v>233</v>
      </c>
      <c r="C28" s="30" t="s">
        <v>234</v>
      </c>
      <c r="D28" s="30" t="s">
        <v>234</v>
      </c>
    </row>
    <row r="29" spans="1:4">
      <c r="A29" s="30" t="s">
        <v>235</v>
      </c>
      <c r="B29" s="31" t="s">
        <v>236</v>
      </c>
      <c r="C29" s="30" t="s">
        <v>237</v>
      </c>
      <c r="D29" s="30" t="s">
        <v>237</v>
      </c>
    </row>
    <row r="30" spans="1:4">
      <c r="A30" s="30" t="s">
        <v>238</v>
      </c>
      <c r="B30" s="31" t="s">
        <v>239</v>
      </c>
      <c r="C30" s="30" t="s">
        <v>240</v>
      </c>
      <c r="D30" s="30" t="s">
        <v>240</v>
      </c>
    </row>
    <row r="31" spans="1:4">
      <c r="A31" s="30" t="s">
        <v>241</v>
      </c>
      <c r="B31" s="31" t="s">
        <v>242</v>
      </c>
      <c r="C31" s="30" t="s">
        <v>243</v>
      </c>
      <c r="D31" s="30" t="s">
        <v>243</v>
      </c>
    </row>
    <row r="32" spans="1:4">
      <c r="A32" s="30" t="s">
        <v>244</v>
      </c>
      <c r="B32" s="31" t="s">
        <v>245</v>
      </c>
      <c r="C32" s="30" t="s">
        <v>246</v>
      </c>
      <c r="D32" s="30" t="s">
        <v>246</v>
      </c>
    </row>
    <row r="33" spans="1:4">
      <c r="A33" s="30" t="s">
        <v>247</v>
      </c>
      <c r="B33" s="31" t="s">
        <v>248</v>
      </c>
      <c r="C33" s="30" t="s">
        <v>249</v>
      </c>
      <c r="D33" s="30" t="s">
        <v>249</v>
      </c>
    </row>
    <row r="34" spans="1:4">
      <c r="A34" s="30" t="s">
        <v>250</v>
      </c>
      <c r="B34" s="31" t="s">
        <v>251</v>
      </c>
      <c r="C34" s="30" t="s">
        <v>252</v>
      </c>
      <c r="D34" s="30" t="s">
        <v>252</v>
      </c>
    </row>
    <row r="35" spans="1:4">
      <c r="A35" s="30" t="s">
        <v>253</v>
      </c>
      <c r="B35" s="31" t="s">
        <v>254</v>
      </c>
      <c r="C35" s="30" t="s">
        <v>255</v>
      </c>
      <c r="D35" s="30" t="s">
        <v>255</v>
      </c>
    </row>
    <row r="36" spans="1:4">
      <c r="A36" s="30" t="s">
        <v>256</v>
      </c>
      <c r="B36" s="31" t="s">
        <v>257</v>
      </c>
      <c r="C36" s="30" t="s">
        <v>258</v>
      </c>
      <c r="D36" s="30" t="s">
        <v>258</v>
      </c>
    </row>
    <row r="37" spans="1:4">
      <c r="A37" s="30" t="s">
        <v>259</v>
      </c>
      <c r="B37" s="31" t="s">
        <v>260</v>
      </c>
      <c r="C37" s="30" t="s">
        <v>261</v>
      </c>
      <c r="D37" s="30" t="s">
        <v>261</v>
      </c>
    </row>
    <row r="38" spans="1:4">
      <c r="A38" s="30" t="s">
        <v>262</v>
      </c>
      <c r="B38" s="31" t="s">
        <v>263</v>
      </c>
      <c r="C38" s="30" t="s">
        <v>264</v>
      </c>
      <c r="D38" s="30" t="s">
        <v>264</v>
      </c>
    </row>
    <row r="39" spans="1:4">
      <c r="A39" s="30" t="s">
        <v>265</v>
      </c>
      <c r="B39" s="31" t="s">
        <v>266</v>
      </c>
      <c r="C39" s="30" t="s">
        <v>267</v>
      </c>
      <c r="D39" s="30" t="s">
        <v>267</v>
      </c>
    </row>
    <row r="40" spans="1:4">
      <c r="A40" s="30" t="s">
        <v>268</v>
      </c>
      <c r="B40" s="31" t="s">
        <v>269</v>
      </c>
      <c r="C40" s="30" t="s">
        <v>270</v>
      </c>
      <c r="D40" s="30" t="s">
        <v>270</v>
      </c>
    </row>
    <row r="41" spans="1:4">
      <c r="A41" s="30" t="s">
        <v>271</v>
      </c>
      <c r="B41" s="31" t="s">
        <v>272</v>
      </c>
      <c r="C41" s="30" t="s">
        <v>273</v>
      </c>
      <c r="D41" s="30" t="s">
        <v>273</v>
      </c>
    </row>
    <row r="42" spans="1:4">
      <c r="A42" s="30" t="s">
        <v>274</v>
      </c>
      <c r="B42" s="31" t="s">
        <v>275</v>
      </c>
      <c r="C42" s="30" t="s">
        <v>273</v>
      </c>
      <c r="D42" s="30" t="s">
        <v>273</v>
      </c>
    </row>
    <row r="43" spans="1:4">
      <c r="A43" s="30" t="s">
        <v>276</v>
      </c>
      <c r="B43" s="31" t="s">
        <v>277</v>
      </c>
      <c r="C43" s="30" t="s">
        <v>278</v>
      </c>
      <c r="D43" s="30" t="s">
        <v>278</v>
      </c>
    </row>
    <row r="44" spans="1:4">
      <c r="A44" s="30" t="s">
        <v>279</v>
      </c>
      <c r="B44" s="31" t="s">
        <v>280</v>
      </c>
      <c r="C44" s="30" t="s">
        <v>255</v>
      </c>
      <c r="D44" s="30" t="s">
        <v>255</v>
      </c>
    </row>
    <row r="45" spans="1:4">
      <c r="A45" s="30" t="s">
        <v>281</v>
      </c>
      <c r="B45" s="31" t="s">
        <v>282</v>
      </c>
      <c r="C45" s="30" t="s">
        <v>258</v>
      </c>
      <c r="D45" s="30" t="s">
        <v>258</v>
      </c>
    </row>
    <row r="46" spans="1:4">
      <c r="A46" s="30" t="s">
        <v>283</v>
      </c>
      <c r="B46" s="31" t="s">
        <v>284</v>
      </c>
      <c r="C46" s="30" t="s">
        <v>285</v>
      </c>
      <c r="D46" s="30" t="s">
        <v>285</v>
      </c>
    </row>
    <row r="47" spans="1:4">
      <c r="A47" s="30" t="s">
        <v>286</v>
      </c>
      <c r="B47" s="31" t="s">
        <v>287</v>
      </c>
      <c r="C47" s="30" t="s">
        <v>288</v>
      </c>
      <c r="D47" s="30" t="s">
        <v>288</v>
      </c>
    </row>
    <row r="48" spans="1:4">
      <c r="A48" s="30" t="s">
        <v>289</v>
      </c>
      <c r="B48" s="31" t="s">
        <v>290</v>
      </c>
      <c r="C48" s="30" t="s">
        <v>291</v>
      </c>
      <c r="D48" s="30" t="s">
        <v>291</v>
      </c>
    </row>
    <row r="49" spans="1:4">
      <c r="A49" s="30" t="s">
        <v>292</v>
      </c>
      <c r="B49" s="31" t="s">
        <v>293</v>
      </c>
      <c r="C49" s="30" t="s">
        <v>294</v>
      </c>
      <c r="D49" s="30" t="s">
        <v>294</v>
      </c>
    </row>
    <row r="50" spans="1:4">
      <c r="A50" s="30" t="s">
        <v>295</v>
      </c>
      <c r="B50" s="31" t="s">
        <v>296</v>
      </c>
      <c r="C50" s="30" t="s">
        <v>297</v>
      </c>
      <c r="D50" s="30" t="s">
        <v>297</v>
      </c>
    </row>
    <row r="51" spans="1:4">
      <c r="A51" s="30" t="s">
        <v>298</v>
      </c>
      <c r="B51" s="31" t="s">
        <v>299</v>
      </c>
      <c r="C51" s="30" t="s">
        <v>300</v>
      </c>
      <c r="D51" s="30" t="s">
        <v>300</v>
      </c>
    </row>
    <row r="52" spans="1:4">
      <c r="A52" s="30" t="s">
        <v>301</v>
      </c>
      <c r="B52" s="31" t="s">
        <v>302</v>
      </c>
      <c r="C52" s="30" t="s">
        <v>303</v>
      </c>
      <c r="D52" s="30" t="s">
        <v>303</v>
      </c>
    </row>
    <row r="53" spans="1:4">
      <c r="A53" s="30" t="s">
        <v>304</v>
      </c>
      <c r="B53" s="31" t="s">
        <v>305</v>
      </c>
      <c r="C53" s="30" t="s">
        <v>306</v>
      </c>
      <c r="D53" s="30" t="s">
        <v>306</v>
      </c>
    </row>
    <row r="54" spans="1:4">
      <c r="A54" s="30" t="s">
        <v>307</v>
      </c>
      <c r="B54" s="31" t="s">
        <v>308</v>
      </c>
      <c r="C54" s="30" t="s">
        <v>309</v>
      </c>
      <c r="D54" s="30" t="s">
        <v>309</v>
      </c>
    </row>
    <row r="55" spans="1:4">
      <c r="A55" s="30" t="s">
        <v>310</v>
      </c>
      <c r="B55" s="31" t="s">
        <v>311</v>
      </c>
      <c r="C55" s="30" t="s">
        <v>312</v>
      </c>
      <c r="D55" s="30" t="s">
        <v>312</v>
      </c>
    </row>
    <row r="56" spans="1:4">
      <c r="A56" s="30" t="s">
        <v>313</v>
      </c>
      <c r="B56" s="31" t="s">
        <v>314</v>
      </c>
      <c r="C56" s="30" t="s">
        <v>315</v>
      </c>
      <c r="D56" s="30" t="s">
        <v>316</v>
      </c>
    </row>
    <row r="57" spans="1:4">
      <c r="A57" s="30" t="s">
        <v>317</v>
      </c>
      <c r="B57" s="31" t="s">
        <v>318</v>
      </c>
      <c r="C57" s="30" t="s">
        <v>319</v>
      </c>
      <c r="D57" s="30" t="s">
        <v>319</v>
      </c>
    </row>
    <row r="58" spans="1:4">
      <c r="A58" s="30" t="s">
        <v>320</v>
      </c>
      <c r="B58" s="31" t="s">
        <v>321</v>
      </c>
      <c r="C58" s="30" t="s">
        <v>322</v>
      </c>
      <c r="D58" s="30" t="s">
        <v>323</v>
      </c>
    </row>
    <row r="59" spans="1:4">
      <c r="A59" s="30" t="s">
        <v>324</v>
      </c>
      <c r="B59" s="31" t="s">
        <v>325</v>
      </c>
      <c r="C59" s="30" t="s">
        <v>326</v>
      </c>
      <c r="D59" s="30" t="s">
        <v>327</v>
      </c>
    </row>
    <row r="60" spans="1:4">
      <c r="A60" s="30" t="s">
        <v>328</v>
      </c>
      <c r="B60" s="31" t="s">
        <v>329</v>
      </c>
      <c r="C60" s="30" t="s">
        <v>330</v>
      </c>
      <c r="D60" s="30" t="s">
        <v>330</v>
      </c>
    </row>
    <row r="61" spans="1:4">
      <c r="A61" s="30" t="s">
        <v>331</v>
      </c>
      <c r="B61" s="31" t="s">
        <v>332</v>
      </c>
      <c r="C61" s="30" t="s">
        <v>333</v>
      </c>
      <c r="D61" s="30" t="s">
        <v>333</v>
      </c>
    </row>
    <row r="62" spans="1:4">
      <c r="A62" s="30" t="s">
        <v>334</v>
      </c>
      <c r="B62" s="31" t="s">
        <v>335</v>
      </c>
      <c r="C62" s="30" t="s">
        <v>336</v>
      </c>
      <c r="D62" s="30" t="s">
        <v>336</v>
      </c>
    </row>
    <row r="63" spans="1:4">
      <c r="A63" s="30" t="s">
        <v>337</v>
      </c>
      <c r="B63" s="31" t="s">
        <v>338</v>
      </c>
      <c r="C63" s="30" t="s">
        <v>339</v>
      </c>
      <c r="D63" s="30" t="s">
        <v>339</v>
      </c>
    </row>
    <row r="64" spans="1:4">
      <c r="A64" s="30" t="s">
        <v>340</v>
      </c>
      <c r="B64" s="31" t="s">
        <v>341</v>
      </c>
      <c r="C64" s="30" t="s">
        <v>342</v>
      </c>
      <c r="D64" s="30" t="s">
        <v>342</v>
      </c>
    </row>
    <row r="65" spans="1:4">
      <c r="A65" s="30" t="s">
        <v>343</v>
      </c>
      <c r="B65" s="31" t="s">
        <v>344</v>
      </c>
      <c r="C65" s="30" t="s">
        <v>345</v>
      </c>
      <c r="D65" s="30" t="s">
        <v>345</v>
      </c>
    </row>
    <row r="66" spans="1:4">
      <c r="A66" s="30" t="s">
        <v>346</v>
      </c>
      <c r="B66" s="31" t="s">
        <v>347</v>
      </c>
      <c r="C66" s="30" t="s">
        <v>348</v>
      </c>
      <c r="D66" s="30" t="s">
        <v>348</v>
      </c>
    </row>
    <row r="67" spans="1:4">
      <c r="A67" s="30" t="s">
        <v>349</v>
      </c>
      <c r="B67" s="31" t="s">
        <v>350</v>
      </c>
      <c r="C67" s="30" t="s">
        <v>351</v>
      </c>
      <c r="D67" s="30" t="s">
        <v>352</v>
      </c>
    </row>
    <row r="68" spans="1:4">
      <c r="A68" s="30" t="s">
        <v>353</v>
      </c>
      <c r="B68" s="31" t="s">
        <v>354</v>
      </c>
      <c r="C68" s="30" t="s">
        <v>355</v>
      </c>
      <c r="D68" s="30" t="s">
        <v>355</v>
      </c>
    </row>
    <row r="69" spans="1:4">
      <c r="A69" s="30" t="s">
        <v>356</v>
      </c>
      <c r="B69" s="31" t="s">
        <v>357</v>
      </c>
      <c r="C69" s="30" t="s">
        <v>358</v>
      </c>
      <c r="D69" s="30" t="s">
        <v>358</v>
      </c>
    </row>
    <row r="70" spans="1:4">
      <c r="A70" s="30" t="s">
        <v>359</v>
      </c>
      <c r="B70" s="31" t="s">
        <v>360</v>
      </c>
      <c r="C70" s="30" t="s">
        <v>361</v>
      </c>
      <c r="D70" s="30" t="s">
        <v>361</v>
      </c>
    </row>
    <row r="71" spans="1:4">
      <c r="A71" s="30" t="s">
        <v>362</v>
      </c>
      <c r="B71" s="31" t="s">
        <v>363</v>
      </c>
      <c r="C71" s="30" t="s">
        <v>364</v>
      </c>
      <c r="D71" s="30" t="s">
        <v>364</v>
      </c>
    </row>
    <row r="72" spans="1:4">
      <c r="A72" s="30" t="s">
        <v>365</v>
      </c>
      <c r="B72" s="31" t="s">
        <v>366</v>
      </c>
      <c r="C72" s="30" t="s">
        <v>367</v>
      </c>
      <c r="D72" s="30" t="s">
        <v>367</v>
      </c>
    </row>
    <row r="73" spans="1:4">
      <c r="A73" s="30" t="s">
        <v>368</v>
      </c>
      <c r="B73" s="31" t="s">
        <v>369</v>
      </c>
      <c r="C73" s="30" t="s">
        <v>370</v>
      </c>
      <c r="D73" s="30" t="s">
        <v>370</v>
      </c>
    </row>
    <row r="74" spans="1:4">
      <c r="A74" s="30" t="s">
        <v>371</v>
      </c>
      <c r="B74" s="31" t="s">
        <v>372</v>
      </c>
      <c r="C74" s="30" t="s">
        <v>373</v>
      </c>
      <c r="D74" s="30" t="s">
        <v>373</v>
      </c>
    </row>
    <row r="75" spans="1:4">
      <c r="A75" s="30" t="s">
        <v>374</v>
      </c>
      <c r="B75" s="31" t="s">
        <v>375</v>
      </c>
      <c r="C75" s="30" t="s">
        <v>376</v>
      </c>
      <c r="D75" s="30" t="s">
        <v>376</v>
      </c>
    </row>
    <row r="76" spans="1:4">
      <c r="A76" s="30" t="s">
        <v>377</v>
      </c>
      <c r="B76" s="31" t="s">
        <v>378</v>
      </c>
      <c r="C76" s="30" t="s">
        <v>379</v>
      </c>
      <c r="D76" s="30" t="s">
        <v>379</v>
      </c>
    </row>
    <row r="77" spans="1:4">
      <c r="A77" s="30" t="s">
        <v>380</v>
      </c>
      <c r="B77" s="31" t="s">
        <v>381</v>
      </c>
      <c r="C77" s="30" t="s">
        <v>382</v>
      </c>
      <c r="D77" s="30" t="s">
        <v>382</v>
      </c>
    </row>
    <row r="78" spans="1:4">
      <c r="A78" s="30" t="s">
        <v>383</v>
      </c>
      <c r="B78" s="31" t="s">
        <v>384</v>
      </c>
      <c r="C78" s="30" t="s">
        <v>385</v>
      </c>
      <c r="D78" s="30" t="s">
        <v>385</v>
      </c>
    </row>
    <row r="79" spans="1:4">
      <c r="A79" s="30" t="s">
        <v>386</v>
      </c>
      <c r="B79" s="31" t="s">
        <v>387</v>
      </c>
      <c r="C79" s="30" t="s">
        <v>388</v>
      </c>
      <c r="D79" s="30" t="s">
        <v>388</v>
      </c>
    </row>
    <row r="80" spans="1:4">
      <c r="A80" s="30" t="s">
        <v>389</v>
      </c>
      <c r="B80" s="31" t="s">
        <v>390</v>
      </c>
      <c r="C80" s="30" t="s">
        <v>391</v>
      </c>
      <c r="D80" s="30" t="s">
        <v>391</v>
      </c>
    </row>
    <row r="81" spans="1:4">
      <c r="A81" s="30" t="s">
        <v>392</v>
      </c>
      <c r="B81" s="31" t="s">
        <v>393</v>
      </c>
      <c r="C81" s="30" t="s">
        <v>394</v>
      </c>
      <c r="D81" s="30" t="s">
        <v>394</v>
      </c>
    </row>
    <row r="82" spans="1:4">
      <c r="A82" s="30" t="s">
        <v>395</v>
      </c>
      <c r="B82" s="31" t="s">
        <v>396</v>
      </c>
      <c r="C82" s="30" t="s">
        <v>397</v>
      </c>
      <c r="D82" s="30" t="s">
        <v>397</v>
      </c>
    </row>
    <row r="83" spans="1:4">
      <c r="A83" s="30" t="s">
        <v>398</v>
      </c>
      <c r="B83" s="31" t="s">
        <v>399</v>
      </c>
      <c r="C83" s="30" t="s">
        <v>400</v>
      </c>
      <c r="D83" s="30" t="s">
        <v>401</v>
      </c>
    </row>
    <row r="84" spans="1:4">
      <c r="A84" s="30" t="s">
        <v>402</v>
      </c>
      <c r="B84" s="31" t="s">
        <v>403</v>
      </c>
      <c r="C84" s="30" t="s">
        <v>404</v>
      </c>
      <c r="D84" s="30" t="s">
        <v>404</v>
      </c>
    </row>
    <row r="85" spans="1:4">
      <c r="A85" s="30" t="s">
        <v>405</v>
      </c>
      <c r="B85" s="31" t="s">
        <v>406</v>
      </c>
      <c r="C85" s="30" t="s">
        <v>407</v>
      </c>
      <c r="D85" s="30" t="s">
        <v>407</v>
      </c>
    </row>
    <row r="86" spans="1:4">
      <c r="A86" s="30" t="s">
        <v>408</v>
      </c>
      <c r="B86" s="31" t="s">
        <v>409</v>
      </c>
      <c r="C86" s="30" t="s">
        <v>410</v>
      </c>
      <c r="D86" s="30" t="s">
        <v>410</v>
      </c>
    </row>
    <row r="87" spans="1:4">
      <c r="A87" s="30" t="s">
        <v>411</v>
      </c>
      <c r="B87" s="31" t="s">
        <v>412</v>
      </c>
      <c r="C87" s="30" t="s">
        <v>413</v>
      </c>
      <c r="D87" s="30" t="s">
        <v>413</v>
      </c>
    </row>
    <row r="88" spans="1:4">
      <c r="A88" s="30" t="s">
        <v>414</v>
      </c>
      <c r="B88" s="31" t="s">
        <v>415</v>
      </c>
      <c r="C88" s="30" t="s">
        <v>416</v>
      </c>
      <c r="D88" s="30" t="s">
        <v>416</v>
      </c>
    </row>
    <row r="89" spans="1:4">
      <c r="A89" s="30" t="s">
        <v>417</v>
      </c>
      <c r="B89" s="31" t="s">
        <v>418</v>
      </c>
      <c r="C89" s="30" t="s">
        <v>419</v>
      </c>
      <c r="D89" s="30" t="s">
        <v>419</v>
      </c>
    </row>
    <row r="90" spans="1:4">
      <c r="A90" s="30" t="s">
        <v>420</v>
      </c>
      <c r="B90" s="31" t="s">
        <v>421</v>
      </c>
      <c r="C90" s="30" t="s">
        <v>422</v>
      </c>
      <c r="D90" s="30" t="s">
        <v>422</v>
      </c>
    </row>
    <row r="91" spans="1:4">
      <c r="A91" s="30" t="s">
        <v>423</v>
      </c>
      <c r="B91" s="31" t="s">
        <v>424</v>
      </c>
      <c r="C91" s="30" t="s">
        <v>425</v>
      </c>
      <c r="D91" s="30" t="s">
        <v>425</v>
      </c>
    </row>
    <row r="92" spans="1:4">
      <c r="A92" s="30" t="s">
        <v>426</v>
      </c>
      <c r="B92" s="31" t="s">
        <v>427</v>
      </c>
      <c r="C92" s="30" t="s">
        <v>428</v>
      </c>
      <c r="D92" s="30" t="s">
        <v>428</v>
      </c>
    </row>
    <row r="93" spans="1:4">
      <c r="A93" s="30" t="s">
        <v>429</v>
      </c>
      <c r="B93" s="31" t="s">
        <v>430</v>
      </c>
      <c r="C93" s="30" t="s">
        <v>431</v>
      </c>
      <c r="D93" s="30" t="s">
        <v>431</v>
      </c>
    </row>
    <row r="94" spans="1:4">
      <c r="A94" s="30" t="s">
        <v>432</v>
      </c>
      <c r="B94" s="31" t="s">
        <v>433</v>
      </c>
      <c r="C94" s="30" t="s">
        <v>434</v>
      </c>
      <c r="D94" s="30" t="s">
        <v>434</v>
      </c>
    </row>
    <row r="95" spans="1:4">
      <c r="A95" s="30" t="s">
        <v>435</v>
      </c>
      <c r="B95" s="31" t="s">
        <v>436</v>
      </c>
      <c r="C95" s="30" t="s">
        <v>437</v>
      </c>
      <c r="D95" s="30" t="s">
        <v>437</v>
      </c>
    </row>
    <row r="96" spans="1:4">
      <c r="A96" s="30" t="s">
        <v>438</v>
      </c>
      <c r="B96" s="31" t="s">
        <v>439</v>
      </c>
      <c r="C96" s="30" t="s">
        <v>440</v>
      </c>
      <c r="D96" s="30" t="s">
        <v>440</v>
      </c>
    </row>
    <row r="97" spans="1:4">
      <c r="A97" s="30" t="s">
        <v>441</v>
      </c>
      <c r="B97" s="31" t="s">
        <v>442</v>
      </c>
      <c r="C97" s="30" t="s">
        <v>443</v>
      </c>
      <c r="D97" s="30" t="s">
        <v>443</v>
      </c>
    </row>
    <row r="98" spans="1:4">
      <c r="A98" s="30" t="s">
        <v>444</v>
      </c>
      <c r="B98" s="31" t="s">
        <v>445</v>
      </c>
      <c r="C98" s="30" t="s">
        <v>446</v>
      </c>
      <c r="D98" s="30" t="s">
        <v>446</v>
      </c>
    </row>
    <row r="99" spans="1:4">
      <c r="A99" s="30" t="s">
        <v>447</v>
      </c>
      <c r="B99" s="31" t="s">
        <v>448</v>
      </c>
      <c r="C99" s="30" t="s">
        <v>449</v>
      </c>
      <c r="D99" s="30" t="s">
        <v>449</v>
      </c>
    </row>
    <row r="100" spans="1:4">
      <c r="A100" s="30" t="s">
        <v>450</v>
      </c>
      <c r="B100" s="31" t="s">
        <v>451</v>
      </c>
      <c r="C100" s="30" t="s">
        <v>452</v>
      </c>
      <c r="D100" s="30" t="s">
        <v>452</v>
      </c>
    </row>
    <row r="101" spans="1:4">
      <c r="A101" s="30" t="s">
        <v>453</v>
      </c>
      <c r="B101" s="31" t="s">
        <v>454</v>
      </c>
      <c r="C101" s="30" t="s">
        <v>455</v>
      </c>
      <c r="D101" s="30" t="s">
        <v>455</v>
      </c>
    </row>
    <row r="102" spans="1:4">
      <c r="A102" s="30" t="s">
        <v>456</v>
      </c>
      <c r="B102" s="31" t="s">
        <v>457</v>
      </c>
      <c r="C102" s="30" t="s">
        <v>458</v>
      </c>
      <c r="D102" s="30" t="s">
        <v>458</v>
      </c>
    </row>
    <row r="103" spans="1:4">
      <c r="A103" s="30" t="s">
        <v>459</v>
      </c>
      <c r="B103" s="31" t="s">
        <v>460</v>
      </c>
      <c r="C103" s="30" t="s">
        <v>461</v>
      </c>
      <c r="D103" s="30" t="s">
        <v>461</v>
      </c>
    </row>
    <row r="104" spans="1:4">
      <c r="A104" s="30" t="s">
        <v>462</v>
      </c>
      <c r="B104" s="31" t="s">
        <v>463</v>
      </c>
      <c r="C104" s="30" t="s">
        <v>464</v>
      </c>
      <c r="D104" s="30" t="s">
        <v>464</v>
      </c>
    </row>
    <row r="105" spans="1:4">
      <c r="A105" s="30" t="s">
        <v>465</v>
      </c>
      <c r="B105" s="31" t="s">
        <v>466</v>
      </c>
      <c r="C105" s="30" t="s">
        <v>467</v>
      </c>
      <c r="D105" s="30" t="s">
        <v>468</v>
      </c>
    </row>
    <row r="106" spans="1:4">
      <c r="A106" s="30" t="s">
        <v>469</v>
      </c>
      <c r="B106" s="31" t="s">
        <v>470</v>
      </c>
      <c r="C106" s="30" t="s">
        <v>471</v>
      </c>
      <c r="D106" s="30" t="s">
        <v>471</v>
      </c>
    </row>
    <row r="107" spans="1:4">
      <c r="A107" s="30" t="s">
        <v>472</v>
      </c>
      <c r="B107" s="31" t="s">
        <v>473</v>
      </c>
      <c r="C107" s="30" t="s">
        <v>474</v>
      </c>
      <c r="D107" s="30" t="s">
        <v>474</v>
      </c>
    </row>
    <row r="108" spans="1:4">
      <c r="A108" s="30" t="s">
        <v>475</v>
      </c>
      <c r="B108" s="31" t="s">
        <v>476</v>
      </c>
      <c r="C108" s="30" t="s">
        <v>477</v>
      </c>
      <c r="D108" s="30" t="s">
        <v>477</v>
      </c>
    </row>
    <row r="109" spans="1:4">
      <c r="A109" s="30" t="s">
        <v>478</v>
      </c>
      <c r="B109" s="31" t="s">
        <v>479</v>
      </c>
      <c r="C109" s="30" t="s">
        <v>480</v>
      </c>
      <c r="D109" s="30" t="s">
        <v>480</v>
      </c>
    </row>
    <row r="110" spans="1:4">
      <c r="A110" s="30" t="s">
        <v>481</v>
      </c>
      <c r="B110" s="31" t="s">
        <v>482</v>
      </c>
      <c r="C110" s="30" t="s">
        <v>483</v>
      </c>
      <c r="D110" s="30" t="s">
        <v>483</v>
      </c>
    </row>
    <row r="111" spans="1:4">
      <c r="A111" s="30" t="s">
        <v>484</v>
      </c>
      <c r="B111" s="31" t="s">
        <v>485</v>
      </c>
      <c r="C111" s="30" t="s">
        <v>486</v>
      </c>
      <c r="D111" s="30" t="s">
        <v>486</v>
      </c>
    </row>
    <row r="112" spans="1:4">
      <c r="A112" s="30" t="s">
        <v>487</v>
      </c>
      <c r="B112" s="31" t="s">
        <v>488</v>
      </c>
      <c r="C112" s="30" t="s">
        <v>489</v>
      </c>
      <c r="D112" s="30" t="s">
        <v>489</v>
      </c>
    </row>
    <row r="113" spans="1:4">
      <c r="A113" s="30" t="s">
        <v>490</v>
      </c>
      <c r="B113" s="31" t="s">
        <v>491</v>
      </c>
      <c r="C113" s="30" t="s">
        <v>492</v>
      </c>
      <c r="D113" s="30" t="s">
        <v>492</v>
      </c>
    </row>
    <row r="114" spans="1:4">
      <c r="A114" s="30" t="s">
        <v>493</v>
      </c>
      <c r="B114" s="31" t="s">
        <v>494</v>
      </c>
      <c r="C114" s="30" t="s">
        <v>495</v>
      </c>
      <c r="D114" s="30" t="s">
        <v>495</v>
      </c>
    </row>
    <row r="115" spans="1:4">
      <c r="A115" s="30" t="s">
        <v>496</v>
      </c>
      <c r="B115" s="31" t="s">
        <v>497</v>
      </c>
      <c r="C115" s="30" t="s">
        <v>498</v>
      </c>
      <c r="D115" s="30" t="s">
        <v>498</v>
      </c>
    </row>
    <row r="116" spans="1:4">
      <c r="A116" s="30" t="s">
        <v>499</v>
      </c>
      <c r="B116" s="31" t="s">
        <v>500</v>
      </c>
      <c r="C116" s="30" t="s">
        <v>501</v>
      </c>
      <c r="D116" s="30" t="s">
        <v>501</v>
      </c>
    </row>
    <row r="117" spans="1:4">
      <c r="A117" s="30" t="s">
        <v>502</v>
      </c>
      <c r="B117" s="31" t="s">
        <v>503</v>
      </c>
      <c r="C117" s="30" t="s">
        <v>504</v>
      </c>
      <c r="D117" s="30" t="s">
        <v>504</v>
      </c>
    </row>
    <row r="118" spans="1:4">
      <c r="A118" s="30" t="s">
        <v>505</v>
      </c>
      <c r="B118" s="31" t="s">
        <v>506</v>
      </c>
      <c r="C118" s="30" t="s">
        <v>507</v>
      </c>
      <c r="D118" s="30" t="s">
        <v>507</v>
      </c>
    </row>
    <row r="119" spans="1:4">
      <c r="A119" s="30" t="s">
        <v>508</v>
      </c>
      <c r="B119" s="31" t="s">
        <v>509</v>
      </c>
      <c r="C119" s="30" t="s">
        <v>510</v>
      </c>
      <c r="D119" s="30" t="s">
        <v>511</v>
      </c>
    </row>
    <row r="120" spans="1:4">
      <c r="A120" s="30" t="s">
        <v>512</v>
      </c>
      <c r="B120" s="31" t="s">
        <v>513</v>
      </c>
      <c r="C120" s="30" t="s">
        <v>514</v>
      </c>
      <c r="D120" s="30" t="s">
        <v>514</v>
      </c>
    </row>
    <row r="121" spans="1:4">
      <c r="A121" s="30" t="s">
        <v>515</v>
      </c>
      <c r="B121" s="31" t="s">
        <v>516</v>
      </c>
      <c r="C121" s="30" t="s">
        <v>517</v>
      </c>
      <c r="D121" s="30" t="s">
        <v>517</v>
      </c>
    </row>
    <row r="122" spans="1:4">
      <c r="A122" s="30" t="s">
        <v>518</v>
      </c>
      <c r="B122" s="31" t="s">
        <v>519</v>
      </c>
      <c r="C122" s="30" t="s">
        <v>520</v>
      </c>
      <c r="D122" s="30" t="s">
        <v>520</v>
      </c>
    </row>
    <row r="123" spans="1:4">
      <c r="A123" s="30" t="s">
        <v>521</v>
      </c>
      <c r="B123" s="31" t="s">
        <v>522</v>
      </c>
      <c r="C123" s="30" t="s">
        <v>523</v>
      </c>
      <c r="D123" s="30" t="s">
        <v>523</v>
      </c>
    </row>
    <row r="124" spans="1:4">
      <c r="A124" s="30" t="s">
        <v>524</v>
      </c>
      <c r="B124" s="31" t="s">
        <v>525</v>
      </c>
      <c r="C124" s="30" t="s">
        <v>526</v>
      </c>
      <c r="D124" s="30" t="s">
        <v>526</v>
      </c>
    </row>
    <row r="125" spans="1:4">
      <c r="A125" s="30" t="s">
        <v>527</v>
      </c>
      <c r="B125" s="31" t="s">
        <v>528</v>
      </c>
      <c r="C125" s="30" t="s">
        <v>529</v>
      </c>
      <c r="D125" s="30" t="s">
        <v>529</v>
      </c>
    </row>
    <row r="126" spans="1:4">
      <c r="A126" s="30" t="s">
        <v>530</v>
      </c>
      <c r="B126" s="31" t="s">
        <v>531</v>
      </c>
      <c r="C126" s="30" t="s">
        <v>532</v>
      </c>
      <c r="D126" s="30" t="s">
        <v>532</v>
      </c>
    </row>
    <row r="127" spans="1:4">
      <c r="A127" s="30" t="s">
        <v>533</v>
      </c>
      <c r="B127" s="31" t="s">
        <v>534</v>
      </c>
      <c r="C127" s="30" t="s">
        <v>535</v>
      </c>
      <c r="D127" s="30" t="s">
        <v>535</v>
      </c>
    </row>
    <row r="128" spans="1:4">
      <c r="A128" s="30" t="s">
        <v>536</v>
      </c>
      <c r="B128" s="31" t="s">
        <v>537</v>
      </c>
      <c r="C128" s="30" t="s">
        <v>538</v>
      </c>
      <c r="D128" s="30" t="s">
        <v>538</v>
      </c>
    </row>
    <row r="129" spans="1:4">
      <c r="A129" s="30" t="s">
        <v>539</v>
      </c>
      <c r="B129" s="31" t="s">
        <v>540</v>
      </c>
      <c r="C129" s="30" t="s">
        <v>541</v>
      </c>
      <c r="D129" s="30" t="s">
        <v>542</v>
      </c>
    </row>
    <row r="130" spans="1:4">
      <c r="A130" s="30" t="s">
        <v>543</v>
      </c>
      <c r="B130" s="31" t="s">
        <v>544</v>
      </c>
      <c r="C130" s="30" t="s">
        <v>545</v>
      </c>
      <c r="D130" s="30" t="s">
        <v>545</v>
      </c>
    </row>
    <row r="131" spans="1:4">
      <c r="A131" s="30" t="s">
        <v>546</v>
      </c>
      <c r="B131" s="31" t="s">
        <v>547</v>
      </c>
      <c r="C131" s="30" t="s">
        <v>548</v>
      </c>
      <c r="D131" s="30" t="s">
        <v>548</v>
      </c>
    </row>
    <row r="132" spans="1:4">
      <c r="A132" s="30" t="s">
        <v>549</v>
      </c>
      <c r="B132" s="31" t="s">
        <v>550</v>
      </c>
      <c r="C132" s="30" t="s">
        <v>551</v>
      </c>
      <c r="D132" s="30" t="s">
        <v>552</v>
      </c>
    </row>
    <row r="133" spans="1:4">
      <c r="A133" s="30" t="s">
        <v>553</v>
      </c>
      <c r="B133" s="31" t="s">
        <v>554</v>
      </c>
      <c r="C133" s="30" t="s">
        <v>555</v>
      </c>
      <c r="D133" s="30" t="s">
        <v>556</v>
      </c>
    </row>
    <row r="134" spans="1:4">
      <c r="A134" s="30" t="s">
        <v>557</v>
      </c>
      <c r="B134" s="31" t="s">
        <v>558</v>
      </c>
      <c r="C134" s="30" t="s">
        <v>559</v>
      </c>
      <c r="D134" s="30" t="s">
        <v>559</v>
      </c>
    </row>
    <row r="135" spans="1:4">
      <c r="A135" s="30" t="s">
        <v>560</v>
      </c>
      <c r="B135" s="31" t="s">
        <v>561</v>
      </c>
      <c r="C135" s="30" t="s">
        <v>562</v>
      </c>
      <c r="D135" s="30" t="s">
        <v>563</v>
      </c>
    </row>
    <row r="136" spans="1:4">
      <c r="A136" s="30" t="s">
        <v>564</v>
      </c>
      <c r="B136" s="31" t="s">
        <v>565</v>
      </c>
      <c r="C136" s="30" t="s">
        <v>566</v>
      </c>
      <c r="D136" s="30" t="s">
        <v>567</v>
      </c>
    </row>
    <row r="137" spans="1:4">
      <c r="A137" s="30" t="s">
        <v>568</v>
      </c>
      <c r="B137" s="31" t="s">
        <v>569</v>
      </c>
      <c r="C137" s="30" t="s">
        <v>570</v>
      </c>
      <c r="D137" s="30" t="s">
        <v>571</v>
      </c>
    </row>
    <row r="138" spans="1:4">
      <c r="A138" s="30" t="s">
        <v>572</v>
      </c>
      <c r="B138" s="31" t="s">
        <v>573</v>
      </c>
      <c r="C138" s="30" t="s">
        <v>574</v>
      </c>
      <c r="D138" s="30" t="s">
        <v>574</v>
      </c>
    </row>
    <row r="139" spans="1:4">
      <c r="A139" s="30" t="s">
        <v>575</v>
      </c>
      <c r="B139" s="31" t="s">
        <v>576</v>
      </c>
      <c r="C139" s="30" t="s">
        <v>577</v>
      </c>
      <c r="D139" s="30" t="s">
        <v>577</v>
      </c>
    </row>
    <row r="140" spans="1:4">
      <c r="A140" s="30" t="s">
        <v>578</v>
      </c>
      <c r="B140" s="31" t="s">
        <v>579</v>
      </c>
      <c r="C140" s="30" t="s">
        <v>580</v>
      </c>
      <c r="D140" s="30" t="s">
        <v>581</v>
      </c>
    </row>
    <row r="141" spans="1:4">
      <c r="A141" s="30" t="s">
        <v>582</v>
      </c>
      <c r="B141" s="31" t="s">
        <v>583</v>
      </c>
      <c r="C141" s="30" t="s">
        <v>584</v>
      </c>
      <c r="D141" s="30" t="s">
        <v>584</v>
      </c>
    </row>
    <row r="142" spans="1:4">
      <c r="A142" s="30" t="s">
        <v>585</v>
      </c>
      <c r="B142" s="31" t="s">
        <v>586</v>
      </c>
      <c r="C142" s="30" t="s">
        <v>587</v>
      </c>
      <c r="D142" s="30" t="s">
        <v>588</v>
      </c>
    </row>
    <row r="143" spans="1:4">
      <c r="A143" s="30" t="s">
        <v>589</v>
      </c>
      <c r="B143" s="31" t="s">
        <v>590</v>
      </c>
      <c r="C143" s="30" t="s">
        <v>591</v>
      </c>
      <c r="D143" s="30" t="s">
        <v>592</v>
      </c>
    </row>
    <row r="144" spans="1:4">
      <c r="A144" s="30" t="s">
        <v>593</v>
      </c>
      <c r="B144" s="31" t="s">
        <v>594</v>
      </c>
      <c r="C144" s="30" t="s">
        <v>595</v>
      </c>
      <c r="D144" s="30" t="s">
        <v>595</v>
      </c>
    </row>
    <row r="145" spans="1:4">
      <c r="A145" s="30" t="s">
        <v>596</v>
      </c>
      <c r="B145" s="31" t="s">
        <v>597</v>
      </c>
      <c r="C145" s="30" t="s">
        <v>598</v>
      </c>
      <c r="D145" s="30" t="s">
        <v>599</v>
      </c>
    </row>
    <row r="146" spans="1:4">
      <c r="A146" s="30" t="s">
        <v>600</v>
      </c>
      <c r="B146" s="31" t="s">
        <v>601</v>
      </c>
      <c r="C146" s="30" t="s">
        <v>602</v>
      </c>
      <c r="D146" s="30" t="s">
        <v>603</v>
      </c>
    </row>
    <row r="147" spans="1:4">
      <c r="A147" s="30" t="s">
        <v>604</v>
      </c>
      <c r="B147" s="31" t="s">
        <v>605</v>
      </c>
      <c r="C147" s="30" t="s">
        <v>606</v>
      </c>
      <c r="D147" s="30" t="s">
        <v>606</v>
      </c>
    </row>
    <row r="148" spans="1:4">
      <c r="A148" s="30" t="s">
        <v>607</v>
      </c>
      <c r="B148" s="31" t="s">
        <v>608</v>
      </c>
      <c r="C148" s="30" t="s">
        <v>609</v>
      </c>
      <c r="D148" s="30" t="s">
        <v>610</v>
      </c>
    </row>
    <row r="149" spans="1:4">
      <c r="A149" s="30" t="s">
        <v>611</v>
      </c>
      <c r="B149" s="31" t="s">
        <v>612</v>
      </c>
      <c r="C149" s="30" t="s">
        <v>613</v>
      </c>
      <c r="D149" s="30" t="s">
        <v>614</v>
      </c>
    </row>
    <row r="150" spans="1:4">
      <c r="A150" s="30" t="s">
        <v>615</v>
      </c>
      <c r="B150" s="31" t="s">
        <v>616</v>
      </c>
      <c r="C150" s="30" t="s">
        <v>617</v>
      </c>
      <c r="D150" s="30" t="s">
        <v>617</v>
      </c>
    </row>
    <row r="151" spans="1:4">
      <c r="A151" s="30" t="s">
        <v>618</v>
      </c>
      <c r="B151" s="31" t="s">
        <v>619</v>
      </c>
      <c r="C151" s="30" t="s">
        <v>620</v>
      </c>
      <c r="D151" s="30" t="s">
        <v>620</v>
      </c>
    </row>
    <row r="152" spans="1:4">
      <c r="A152" s="30" t="s">
        <v>621</v>
      </c>
      <c r="B152" s="31" t="s">
        <v>622</v>
      </c>
      <c r="C152" s="30" t="s">
        <v>623</v>
      </c>
      <c r="D152" s="30" t="s">
        <v>624</v>
      </c>
    </row>
    <row r="153" spans="1:4">
      <c r="A153" s="30" t="s">
        <v>625</v>
      </c>
      <c r="B153" s="31" t="s">
        <v>626</v>
      </c>
      <c r="C153" s="30" t="s">
        <v>627</v>
      </c>
      <c r="D153" s="30" t="s">
        <v>628</v>
      </c>
    </row>
    <row r="154" spans="1:4">
      <c r="A154" s="30" t="s">
        <v>629</v>
      </c>
      <c r="B154" s="31" t="s">
        <v>630</v>
      </c>
      <c r="C154" s="30" t="s">
        <v>631</v>
      </c>
      <c r="D154" s="30" t="s">
        <v>631</v>
      </c>
    </row>
    <row r="155" spans="1:4">
      <c r="A155" s="30" t="s">
        <v>632</v>
      </c>
      <c r="B155" s="31" t="s">
        <v>633</v>
      </c>
      <c r="C155" s="30" t="s">
        <v>634</v>
      </c>
      <c r="D155" s="30" t="s">
        <v>634</v>
      </c>
    </row>
    <row r="156" spans="1:4">
      <c r="A156" s="30" t="s">
        <v>635</v>
      </c>
      <c r="B156" s="31" t="s">
        <v>636</v>
      </c>
      <c r="C156" s="30" t="s">
        <v>637</v>
      </c>
      <c r="D156" s="30" t="s">
        <v>637</v>
      </c>
    </row>
    <row r="157" spans="1:4">
      <c r="A157" s="30" t="s">
        <v>638</v>
      </c>
      <c r="B157" s="31" t="s">
        <v>639</v>
      </c>
      <c r="C157" s="30" t="s">
        <v>640</v>
      </c>
      <c r="D157" s="30" t="s">
        <v>640</v>
      </c>
    </row>
    <row r="158" spans="1:4">
      <c r="A158" s="30" t="s">
        <v>641</v>
      </c>
      <c r="B158" s="31" t="s">
        <v>642</v>
      </c>
      <c r="C158" s="30" t="s">
        <v>643</v>
      </c>
      <c r="D158" s="30" t="s">
        <v>643</v>
      </c>
    </row>
    <row r="159" spans="1:4">
      <c r="A159" s="30" t="s">
        <v>644</v>
      </c>
      <c r="B159" s="31" t="s">
        <v>645</v>
      </c>
      <c r="C159" s="30" t="s">
        <v>646</v>
      </c>
      <c r="D159" s="30" t="s">
        <v>646</v>
      </c>
    </row>
    <row r="160" spans="1:4">
      <c r="A160" s="30" t="s">
        <v>647</v>
      </c>
      <c r="B160" s="31" t="s">
        <v>648</v>
      </c>
      <c r="C160" s="30" t="s">
        <v>649</v>
      </c>
      <c r="D160" s="30" t="s">
        <v>649</v>
      </c>
    </row>
    <row r="161" spans="1:4">
      <c r="A161" s="30" t="s">
        <v>650</v>
      </c>
      <c r="B161" s="31" t="s">
        <v>651</v>
      </c>
      <c r="C161" s="30" t="s">
        <v>652</v>
      </c>
      <c r="D161" s="30" t="s">
        <v>652</v>
      </c>
    </row>
    <row r="162" spans="1:4">
      <c r="A162" s="30" t="s">
        <v>653</v>
      </c>
      <c r="B162" s="31" t="s">
        <v>654</v>
      </c>
      <c r="C162" s="30" t="s">
        <v>655</v>
      </c>
      <c r="D162" s="30" t="s">
        <v>655</v>
      </c>
    </row>
    <row r="163" spans="1:4">
      <c r="A163" s="30" t="s">
        <v>656</v>
      </c>
      <c r="B163" s="31" t="s">
        <v>657</v>
      </c>
      <c r="C163" s="30" t="s">
        <v>658</v>
      </c>
      <c r="D163" s="30" t="s">
        <v>658</v>
      </c>
    </row>
    <row r="164" spans="1:4">
      <c r="A164" s="30" t="s">
        <v>659</v>
      </c>
      <c r="B164" s="31" t="s">
        <v>660</v>
      </c>
      <c r="C164" s="30" t="s">
        <v>661</v>
      </c>
      <c r="D164" s="30" t="s">
        <v>661</v>
      </c>
    </row>
    <row r="165" spans="1:4">
      <c r="A165" s="30" t="s">
        <v>662</v>
      </c>
      <c r="B165" s="31" t="s">
        <v>663</v>
      </c>
      <c r="C165" s="30" t="s">
        <v>664</v>
      </c>
      <c r="D165" s="30" t="s">
        <v>664</v>
      </c>
    </row>
    <row r="166" spans="1:4">
      <c r="A166" s="30" t="s">
        <v>665</v>
      </c>
      <c r="B166" s="31" t="s">
        <v>666</v>
      </c>
      <c r="C166" s="30" t="s">
        <v>667</v>
      </c>
      <c r="D166" s="30" t="s">
        <v>667</v>
      </c>
    </row>
    <row r="167" spans="1:4">
      <c r="A167" s="30" t="s">
        <v>668</v>
      </c>
      <c r="B167" s="31" t="s">
        <v>669</v>
      </c>
      <c r="C167" s="30" t="s">
        <v>670</v>
      </c>
      <c r="D167" s="30" t="s">
        <v>670</v>
      </c>
    </row>
    <row r="168" spans="1:4">
      <c r="A168" s="30" t="s">
        <v>671</v>
      </c>
      <c r="B168" s="31" t="s">
        <v>672</v>
      </c>
      <c r="C168" s="30" t="s">
        <v>673</v>
      </c>
      <c r="D168" s="30" t="s">
        <v>673</v>
      </c>
    </row>
    <row r="169" spans="1:4">
      <c r="A169" s="30" t="s">
        <v>674</v>
      </c>
      <c r="B169" s="31" t="s">
        <v>675</v>
      </c>
      <c r="C169" s="30" t="s">
        <v>676</v>
      </c>
      <c r="D169" s="30" t="s">
        <v>677</v>
      </c>
    </row>
    <row r="170" spans="1:4">
      <c r="A170" s="30" t="s">
        <v>678</v>
      </c>
      <c r="B170" s="31" t="s">
        <v>679</v>
      </c>
      <c r="C170" s="30" t="s">
        <v>680</v>
      </c>
      <c r="D170" s="30" t="s">
        <v>680</v>
      </c>
    </row>
    <row r="171" spans="1:4">
      <c r="A171" s="30" t="s">
        <v>681</v>
      </c>
      <c r="B171" s="31" t="s">
        <v>682</v>
      </c>
      <c r="C171" s="30" t="s">
        <v>683</v>
      </c>
      <c r="D171" s="30" t="s">
        <v>684</v>
      </c>
    </row>
    <row r="172" spans="1:4">
      <c r="A172" s="30" t="s">
        <v>685</v>
      </c>
      <c r="B172" s="31" t="s">
        <v>686</v>
      </c>
      <c r="C172" s="30" t="s">
        <v>687</v>
      </c>
      <c r="D172" s="30" t="s">
        <v>688</v>
      </c>
    </row>
    <row r="173" spans="1:4">
      <c r="A173" s="30" t="s">
        <v>689</v>
      </c>
      <c r="B173" s="31" t="s">
        <v>690</v>
      </c>
      <c r="C173" s="30" t="s">
        <v>691</v>
      </c>
      <c r="D173" s="30" t="s">
        <v>692</v>
      </c>
    </row>
    <row r="174" spans="1:4">
      <c r="A174" s="30" t="s">
        <v>693</v>
      </c>
      <c r="B174" s="31" t="s">
        <v>694</v>
      </c>
      <c r="C174" s="30" t="s">
        <v>695</v>
      </c>
      <c r="D174" s="30" t="s">
        <v>696</v>
      </c>
    </row>
    <row r="175" spans="1:4">
      <c r="A175" s="30" t="s">
        <v>697</v>
      </c>
      <c r="B175" s="31" t="s">
        <v>698</v>
      </c>
      <c r="C175" s="30" t="s">
        <v>699</v>
      </c>
      <c r="D175" s="30" t="s">
        <v>700</v>
      </c>
    </row>
    <row r="176" spans="1:4">
      <c r="A176" s="30" t="s">
        <v>701</v>
      </c>
      <c r="B176" s="31" t="s">
        <v>702</v>
      </c>
      <c r="C176" s="30" t="s">
        <v>703</v>
      </c>
      <c r="D176" s="30" t="s">
        <v>703</v>
      </c>
    </row>
    <row r="177" spans="1:4">
      <c r="A177" s="30" t="s">
        <v>704</v>
      </c>
      <c r="B177" s="31" t="s">
        <v>705</v>
      </c>
      <c r="C177" s="30" t="s">
        <v>706</v>
      </c>
      <c r="D177" s="30" t="s">
        <v>706</v>
      </c>
    </row>
    <row r="178" spans="1:4">
      <c r="A178" s="30" t="s">
        <v>707</v>
      </c>
      <c r="B178" s="31" t="s">
        <v>708</v>
      </c>
      <c r="C178" s="30" t="s">
        <v>709</v>
      </c>
      <c r="D178" s="30" t="s">
        <v>710</v>
      </c>
    </row>
    <row r="179" spans="1:4">
      <c r="A179" s="30" t="s">
        <v>711</v>
      </c>
      <c r="B179" s="31" t="s">
        <v>712</v>
      </c>
      <c r="C179" s="30" t="s">
        <v>713</v>
      </c>
      <c r="D179" s="30" t="s">
        <v>713</v>
      </c>
    </row>
    <row r="180" spans="1:4">
      <c r="A180" s="30" t="s">
        <v>714</v>
      </c>
      <c r="B180" s="31" t="s">
        <v>715</v>
      </c>
      <c r="C180" s="30" t="s">
        <v>716</v>
      </c>
      <c r="D180" s="30" t="s">
        <v>716</v>
      </c>
    </row>
    <row r="181" spans="1:4">
      <c r="A181" s="30" t="s">
        <v>717</v>
      </c>
      <c r="B181" s="31" t="s">
        <v>718</v>
      </c>
      <c r="C181" s="30" t="s">
        <v>719</v>
      </c>
      <c r="D181" s="30" t="s">
        <v>720</v>
      </c>
    </row>
    <row r="182" spans="1:4">
      <c r="A182" s="30" t="s">
        <v>721</v>
      </c>
      <c r="B182" s="31" t="s">
        <v>722</v>
      </c>
      <c r="C182" s="30" t="s">
        <v>723</v>
      </c>
      <c r="D182" s="30" t="s">
        <v>723</v>
      </c>
    </row>
    <row r="183" spans="1:4">
      <c r="A183" s="30" t="s">
        <v>724</v>
      </c>
      <c r="B183" s="31" t="s">
        <v>725</v>
      </c>
      <c r="C183" s="30" t="s">
        <v>726</v>
      </c>
      <c r="D183" s="30" t="s">
        <v>726</v>
      </c>
    </row>
    <row r="184" spans="1:4">
      <c r="A184" s="30" t="s">
        <v>727</v>
      </c>
      <c r="B184" s="31" t="s">
        <v>728</v>
      </c>
      <c r="C184" s="30" t="s">
        <v>729</v>
      </c>
      <c r="D184" s="30" t="s">
        <v>729</v>
      </c>
    </row>
    <row r="185" spans="1:4">
      <c r="A185" s="30" t="s">
        <v>730</v>
      </c>
      <c r="B185" s="31" t="s">
        <v>731</v>
      </c>
      <c r="C185" s="30" t="s">
        <v>732</v>
      </c>
      <c r="D185" s="30" t="s">
        <v>732</v>
      </c>
    </row>
    <row r="186" spans="1:4">
      <c r="A186" s="30" t="s">
        <v>733</v>
      </c>
      <c r="B186" s="31" t="s">
        <v>734</v>
      </c>
      <c r="C186" s="30" t="s">
        <v>735</v>
      </c>
      <c r="D186" s="30" t="s">
        <v>735</v>
      </c>
    </row>
    <row r="187" spans="1:4">
      <c r="A187" s="30" t="s">
        <v>736</v>
      </c>
      <c r="B187" s="31" t="s">
        <v>737</v>
      </c>
      <c r="C187" s="30" t="s">
        <v>738</v>
      </c>
      <c r="D187" s="30" t="s">
        <v>738</v>
      </c>
    </row>
    <row r="188" spans="1:4">
      <c r="A188" s="30" t="s">
        <v>739</v>
      </c>
      <c r="B188" s="31" t="s">
        <v>740</v>
      </c>
      <c r="C188" s="30" t="s">
        <v>741</v>
      </c>
      <c r="D188" s="30" t="s">
        <v>741</v>
      </c>
    </row>
    <row r="189" spans="1:4">
      <c r="A189" s="30" t="s">
        <v>742</v>
      </c>
      <c r="B189" s="31" t="s">
        <v>743</v>
      </c>
      <c r="C189" s="30" t="s">
        <v>744</v>
      </c>
      <c r="D189" s="30" t="s">
        <v>744</v>
      </c>
    </row>
    <row r="190" spans="1:4">
      <c r="A190" s="30" t="s">
        <v>745</v>
      </c>
      <c r="B190" s="31" t="s">
        <v>746</v>
      </c>
      <c r="C190" s="30" t="s">
        <v>747</v>
      </c>
      <c r="D190" s="30" t="s">
        <v>747</v>
      </c>
    </row>
    <row r="191" spans="1:4">
      <c r="A191" s="30" t="s">
        <v>748</v>
      </c>
      <c r="B191" s="31" t="s">
        <v>749</v>
      </c>
      <c r="C191" s="30" t="s">
        <v>750</v>
      </c>
      <c r="D191" s="30" t="s">
        <v>750</v>
      </c>
    </row>
    <row r="192" spans="1:4">
      <c r="A192" s="30" t="s">
        <v>751</v>
      </c>
      <c r="B192" s="31" t="s">
        <v>752</v>
      </c>
      <c r="C192" s="30" t="s">
        <v>753</v>
      </c>
      <c r="D192" s="30" t="s">
        <v>753</v>
      </c>
    </row>
    <row r="193" spans="1:4">
      <c r="A193" s="30" t="s">
        <v>754</v>
      </c>
      <c r="B193" s="31" t="s">
        <v>755</v>
      </c>
      <c r="C193" s="30" t="s">
        <v>756</v>
      </c>
      <c r="D193" s="30" t="s">
        <v>756</v>
      </c>
    </row>
    <row r="194" spans="1:4">
      <c r="A194" s="30" t="s">
        <v>757</v>
      </c>
      <c r="B194" s="31" t="s">
        <v>758</v>
      </c>
      <c r="C194" s="30" t="s">
        <v>759</v>
      </c>
      <c r="D194" s="30" t="s">
        <v>759</v>
      </c>
    </row>
    <row r="195" spans="1:4">
      <c r="A195" s="30" t="s">
        <v>760</v>
      </c>
      <c r="B195" s="31" t="s">
        <v>761</v>
      </c>
      <c r="C195" s="30" t="s">
        <v>762</v>
      </c>
      <c r="D195" s="30" t="s">
        <v>762</v>
      </c>
    </row>
    <row r="196" spans="1:4">
      <c r="A196" s="30" t="s">
        <v>763</v>
      </c>
      <c r="B196" s="31" t="s">
        <v>764</v>
      </c>
      <c r="C196" s="30" t="s">
        <v>765</v>
      </c>
      <c r="D196" s="30" t="s">
        <v>765</v>
      </c>
    </row>
    <row r="197" spans="1:4">
      <c r="A197" s="30" t="s">
        <v>766</v>
      </c>
      <c r="B197" s="31" t="s">
        <v>767</v>
      </c>
      <c r="C197" s="30" t="s">
        <v>768</v>
      </c>
      <c r="D197" s="30" t="s">
        <v>768</v>
      </c>
    </row>
    <row r="198" spans="1:4">
      <c r="A198" s="30" t="s">
        <v>769</v>
      </c>
      <c r="B198" s="31" t="s">
        <v>770</v>
      </c>
      <c r="C198" s="30" t="s">
        <v>771</v>
      </c>
      <c r="D198" s="30" t="s">
        <v>771</v>
      </c>
    </row>
    <row r="199" spans="1:4">
      <c r="A199" s="30" t="s">
        <v>772</v>
      </c>
      <c r="B199" s="31" t="s">
        <v>773</v>
      </c>
      <c r="C199" s="30" t="s">
        <v>774</v>
      </c>
      <c r="D199" s="30" t="s">
        <v>774</v>
      </c>
    </row>
    <row r="200" spans="1:4">
      <c r="A200" s="30" t="s">
        <v>775</v>
      </c>
      <c r="B200" s="31" t="s">
        <v>776</v>
      </c>
      <c r="C200" s="30" t="s">
        <v>777</v>
      </c>
      <c r="D200" s="30" t="s">
        <v>777</v>
      </c>
    </row>
  </sheetData>
  <autoFilter ref="A1:D200" xr:uid="{878A61D0-1D73-4078-A1D2-A5E5726F1256}">
    <sortState xmlns:xlrd2="http://schemas.microsoft.com/office/spreadsheetml/2017/richdata2" ref="A2:D200">
      <sortCondition ref="B1:B200"/>
    </sortState>
  </autoFilter>
  <pageMargins left="0.7" right="0.7" top="0.75" bottom="0.75" header="0.3" footer="0.3"/>
  <pageSetup paperSize="9" orientation="portrait" horizontalDpi="300" verticalDpi="300" r:id="rId1"/>
  <headerFooter>
    <oddFooter>&amp;L&amp;1#&amp;"Calibri"&amp;8&amp;K000000Classified as 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EE92C-5892-4686-B15B-090CAC117F7B}">
  <sheetPr codeName="Planilha2"/>
  <dimension ref="A1:A10"/>
  <sheetViews>
    <sheetView topLeftCell="A10" workbookViewId="0">
      <selection activeCell="J3" sqref="J3"/>
    </sheetView>
  </sheetViews>
  <sheetFormatPr defaultRowHeight="15"/>
  <cols>
    <col min="1" max="1" width="16.5703125" bestFit="1" customWidth="1"/>
  </cols>
  <sheetData>
    <row r="1" spans="1:1">
      <c r="A1" t="s">
        <v>1363</v>
      </c>
    </row>
    <row r="2" spans="1:1" ht="97.5">
      <c r="A2" s="136" t="s">
        <v>1364</v>
      </c>
    </row>
    <row r="3" spans="1:1" ht="117">
      <c r="A3" s="136" t="s">
        <v>1365</v>
      </c>
    </row>
    <row r="4" spans="1:1" ht="156">
      <c r="A4" s="136" t="s">
        <v>1366</v>
      </c>
    </row>
    <row r="5" spans="1:1" ht="175.5">
      <c r="A5" s="136" t="s">
        <v>1367</v>
      </c>
    </row>
    <row r="6" spans="1:1" ht="370.5">
      <c r="A6" s="136" t="s">
        <v>1368</v>
      </c>
    </row>
    <row r="7" spans="1:1" ht="136.5">
      <c r="A7" s="136" t="s">
        <v>1369</v>
      </c>
    </row>
    <row r="8" spans="1:1" ht="214.5">
      <c r="A8" s="136" t="s">
        <v>1370</v>
      </c>
    </row>
    <row r="9" spans="1:1" ht="234">
      <c r="A9" s="136" t="s">
        <v>1371</v>
      </c>
    </row>
    <row r="10" spans="1:1" ht="136.5">
      <c r="A10" s="136" t="s">
        <v>1372</v>
      </c>
    </row>
  </sheetData>
  <pageMargins left="0.511811024" right="0.511811024" top="0.78740157499999996" bottom="0.78740157499999996" header="0.31496062000000002" footer="0.31496062000000002"/>
  <pageSetup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7102-67AD-4512-B1CB-8B1D74164E4D}">
  <sheetPr codeName="Planilha3"/>
  <dimension ref="A1:H41"/>
  <sheetViews>
    <sheetView workbookViewId="0">
      <selection activeCell="A42" sqref="A42:XFD50"/>
    </sheetView>
  </sheetViews>
  <sheetFormatPr defaultRowHeight="15"/>
  <cols>
    <col min="3" max="3" width="21.7109375" bestFit="1" customWidth="1"/>
    <col min="4" max="4" width="19.28515625" bestFit="1" customWidth="1"/>
    <col min="6" max="6" width="17.5703125" style="127" bestFit="1" customWidth="1"/>
    <col min="7" max="7" width="34.42578125" bestFit="1" customWidth="1"/>
  </cols>
  <sheetData>
    <row r="1" spans="1:8">
      <c r="A1" s="1" t="s">
        <v>0</v>
      </c>
      <c r="B1" s="1" t="s">
        <v>1</v>
      </c>
      <c r="C1" s="1" t="s">
        <v>2</v>
      </c>
      <c r="D1" s="1" t="s">
        <v>3</v>
      </c>
      <c r="E1" s="1" t="s">
        <v>4</v>
      </c>
      <c r="F1" s="138" t="s">
        <v>5</v>
      </c>
      <c r="G1" s="137" t="s">
        <v>2009</v>
      </c>
      <c r="H1" s="137" t="s">
        <v>2010</v>
      </c>
    </row>
    <row r="2" spans="1:8">
      <c r="A2" s="2" t="s">
        <v>6</v>
      </c>
      <c r="B2" s="3" t="s">
        <v>7</v>
      </c>
      <c r="C2" s="2" t="s">
        <v>8</v>
      </c>
      <c r="D2" s="2" t="s">
        <v>9</v>
      </c>
      <c r="E2" s="2" t="s">
        <v>10</v>
      </c>
      <c r="F2" s="139" t="s">
        <v>1804</v>
      </c>
      <c r="G2" s="2" t="s">
        <v>1802</v>
      </c>
      <c r="H2" s="2" t="s">
        <v>1801</v>
      </c>
    </row>
    <row r="3" spans="1:8">
      <c r="A3" s="2" t="s">
        <v>6</v>
      </c>
      <c r="B3" s="3" t="s">
        <v>11</v>
      </c>
      <c r="C3" s="2" t="s">
        <v>12</v>
      </c>
      <c r="D3" s="2" t="s">
        <v>13</v>
      </c>
      <c r="E3" s="2" t="s">
        <v>14</v>
      </c>
      <c r="F3" s="139" t="s">
        <v>1826</v>
      </c>
      <c r="G3" s="2" t="s">
        <v>1823</v>
      </c>
      <c r="H3" s="2" t="s">
        <v>1822</v>
      </c>
    </row>
    <row r="4" spans="1:8">
      <c r="A4" s="2" t="s">
        <v>6</v>
      </c>
      <c r="B4" s="2" t="s">
        <v>15</v>
      </c>
      <c r="C4" s="2" t="s">
        <v>16</v>
      </c>
      <c r="D4" s="2" t="s">
        <v>17</v>
      </c>
      <c r="E4" s="2" t="s">
        <v>18</v>
      </c>
      <c r="F4" s="139" t="s">
        <v>1960</v>
      </c>
      <c r="G4" s="2" t="s">
        <v>1958</v>
      </c>
      <c r="H4" s="2" t="s">
        <v>1956</v>
      </c>
    </row>
    <row r="5" spans="1:8">
      <c r="A5" s="2" t="s">
        <v>6</v>
      </c>
      <c r="B5" s="2" t="s">
        <v>19</v>
      </c>
      <c r="C5" s="2" t="s">
        <v>20</v>
      </c>
      <c r="D5" s="2" t="s">
        <v>21</v>
      </c>
      <c r="E5" s="2" t="s">
        <v>22</v>
      </c>
      <c r="F5" s="139" t="s">
        <v>1936</v>
      </c>
      <c r="G5" s="2" t="s">
        <v>1934</v>
      </c>
      <c r="H5" s="2" t="s">
        <v>1933</v>
      </c>
    </row>
    <row r="6" spans="1:8">
      <c r="A6" s="2" t="s">
        <v>6</v>
      </c>
      <c r="B6" s="2" t="s">
        <v>23</v>
      </c>
      <c r="C6" s="2" t="s">
        <v>24</v>
      </c>
      <c r="D6" s="2" t="s">
        <v>25</v>
      </c>
      <c r="E6" s="2" t="s">
        <v>14</v>
      </c>
      <c r="F6" s="139" t="s">
        <v>1971</v>
      </c>
      <c r="G6" s="2" t="s">
        <v>1969</v>
      </c>
      <c r="H6" s="2" t="s">
        <v>1967</v>
      </c>
    </row>
    <row r="7" spans="1:8">
      <c r="A7" s="2" t="s">
        <v>6</v>
      </c>
      <c r="B7" s="2" t="s">
        <v>26</v>
      </c>
      <c r="C7" s="2" t="s">
        <v>27</v>
      </c>
      <c r="D7" s="2" t="s">
        <v>28</v>
      </c>
      <c r="E7" s="2" t="s">
        <v>22</v>
      </c>
      <c r="F7" s="139" t="s">
        <v>1948</v>
      </c>
      <c r="G7" s="2" t="s">
        <v>1946</v>
      </c>
      <c r="H7" s="2" t="s">
        <v>1945</v>
      </c>
    </row>
    <row r="8" spans="1:8">
      <c r="A8" s="2" t="s">
        <v>6</v>
      </c>
      <c r="B8" s="2" t="s">
        <v>29</v>
      </c>
      <c r="C8" s="2" t="s">
        <v>30</v>
      </c>
      <c r="D8" s="2" t="s">
        <v>31</v>
      </c>
      <c r="E8" s="2" t="s">
        <v>32</v>
      </c>
      <c r="F8" s="139" t="s">
        <v>1523</v>
      </c>
      <c r="G8" s="2" t="s">
        <v>1513</v>
      </c>
      <c r="H8" s="2" t="s">
        <v>1511</v>
      </c>
    </row>
    <row r="9" spans="1:8">
      <c r="A9" s="2" t="s">
        <v>6</v>
      </c>
      <c r="B9" s="2" t="s">
        <v>33</v>
      </c>
      <c r="C9" s="2" t="s">
        <v>34</v>
      </c>
      <c r="D9" s="2" t="s">
        <v>35</v>
      </c>
      <c r="E9" s="2" t="s">
        <v>32</v>
      </c>
      <c r="F9" s="139" t="s">
        <v>1781</v>
      </c>
      <c r="G9" s="2" t="s">
        <v>1778</v>
      </c>
      <c r="H9" s="2" t="s">
        <v>1702</v>
      </c>
    </row>
    <row r="10" spans="1:8">
      <c r="A10" s="2" t="s">
        <v>6</v>
      </c>
      <c r="B10" s="3" t="s">
        <v>36</v>
      </c>
      <c r="C10" s="2" t="s">
        <v>37</v>
      </c>
      <c r="D10" s="2" t="s">
        <v>31</v>
      </c>
      <c r="E10" s="2" t="s">
        <v>32</v>
      </c>
      <c r="F10" s="139" t="s">
        <v>1753</v>
      </c>
      <c r="G10" s="2" t="s">
        <v>1750</v>
      </c>
      <c r="H10" s="2" t="s">
        <v>1545</v>
      </c>
    </row>
    <row r="11" spans="1:8">
      <c r="A11" s="2" t="s">
        <v>6</v>
      </c>
      <c r="B11" s="3" t="s">
        <v>38</v>
      </c>
      <c r="C11" s="2" t="s">
        <v>39</v>
      </c>
      <c r="D11" s="2" t="s">
        <v>35</v>
      </c>
      <c r="E11" s="2" t="s">
        <v>32</v>
      </c>
      <c r="F11" s="139" t="s">
        <v>1763</v>
      </c>
      <c r="G11" s="2" t="s">
        <v>1761</v>
      </c>
      <c r="H11" s="2" t="s">
        <v>1760</v>
      </c>
    </row>
    <row r="12" spans="1:8">
      <c r="A12" s="2" t="s">
        <v>6</v>
      </c>
      <c r="B12" s="3" t="s">
        <v>40</v>
      </c>
      <c r="C12" s="2" t="s">
        <v>37</v>
      </c>
      <c r="D12" s="2" t="s">
        <v>31</v>
      </c>
      <c r="E12" s="2" t="s">
        <v>32</v>
      </c>
      <c r="F12" s="139" t="s">
        <v>1763</v>
      </c>
      <c r="G12" s="2" t="s">
        <v>1761</v>
      </c>
      <c r="H12" s="2" t="s">
        <v>1760</v>
      </c>
    </row>
    <row r="13" spans="1:8">
      <c r="A13" s="2" t="s">
        <v>6</v>
      </c>
      <c r="B13" s="2" t="s">
        <v>41</v>
      </c>
      <c r="C13" s="2" t="s">
        <v>37</v>
      </c>
      <c r="D13" s="2" t="s">
        <v>31</v>
      </c>
      <c r="E13" s="2" t="s">
        <v>32</v>
      </c>
      <c r="F13" s="139" t="s">
        <v>1677</v>
      </c>
      <c r="G13" s="2" t="s">
        <v>1674</v>
      </c>
      <c r="H13" s="2" t="s">
        <v>1570</v>
      </c>
    </row>
    <row r="14" spans="1:8">
      <c r="A14" s="2" t="s">
        <v>6</v>
      </c>
      <c r="B14" s="2" t="s">
        <v>42</v>
      </c>
      <c r="C14" s="2" t="s">
        <v>37</v>
      </c>
      <c r="D14" s="2" t="s">
        <v>31</v>
      </c>
      <c r="E14" s="2" t="s">
        <v>32</v>
      </c>
      <c r="F14" s="139" t="s">
        <v>1685</v>
      </c>
      <c r="G14" s="2" t="s">
        <v>1683</v>
      </c>
      <c r="H14" s="2" t="s">
        <v>1682</v>
      </c>
    </row>
    <row r="15" spans="1:8">
      <c r="A15" s="2" t="s">
        <v>6</v>
      </c>
      <c r="B15" s="2" t="s">
        <v>43</v>
      </c>
      <c r="C15" s="2" t="s">
        <v>44</v>
      </c>
      <c r="D15" s="2" t="s">
        <v>35</v>
      </c>
      <c r="E15" s="2" t="s">
        <v>32</v>
      </c>
      <c r="F15" s="139" t="s">
        <v>1706</v>
      </c>
      <c r="G15" s="2" t="s">
        <v>1704</v>
      </c>
      <c r="H15" s="2" t="s">
        <v>1702</v>
      </c>
    </row>
    <row r="16" spans="1:8">
      <c r="A16" s="2" t="s">
        <v>6</v>
      </c>
      <c r="B16" s="2" t="s">
        <v>45</v>
      </c>
      <c r="C16" s="2" t="s">
        <v>46</v>
      </c>
      <c r="D16" s="2" t="s">
        <v>31</v>
      </c>
      <c r="E16" s="2" t="s">
        <v>32</v>
      </c>
      <c r="F16" s="139" t="s">
        <v>2008</v>
      </c>
      <c r="G16" s="2" t="s">
        <v>2011</v>
      </c>
      <c r="H16" s="2" t="s">
        <v>2012</v>
      </c>
    </row>
    <row r="17" spans="1:8">
      <c r="A17" s="2" t="s">
        <v>6</v>
      </c>
      <c r="B17" s="2" t="s">
        <v>47</v>
      </c>
      <c r="C17" s="2" t="s">
        <v>48</v>
      </c>
      <c r="D17" s="2" t="s">
        <v>49</v>
      </c>
      <c r="E17" s="2" t="s">
        <v>32</v>
      </c>
      <c r="F17" s="139" t="s">
        <v>1993</v>
      </c>
      <c r="G17" s="2" t="s">
        <v>1991</v>
      </c>
      <c r="H17" s="2" t="s">
        <v>1990</v>
      </c>
    </row>
    <row r="18" spans="1:8">
      <c r="A18" s="2" t="s">
        <v>6</v>
      </c>
      <c r="B18" s="2" t="s">
        <v>50</v>
      </c>
      <c r="C18" s="2" t="s">
        <v>51</v>
      </c>
      <c r="D18" s="2" t="s">
        <v>31</v>
      </c>
      <c r="E18" s="2" t="s">
        <v>32</v>
      </c>
      <c r="F18" s="139" t="s">
        <v>1917</v>
      </c>
      <c r="G18" s="2" t="s">
        <v>1915</v>
      </c>
      <c r="H18" s="2" t="s">
        <v>1913</v>
      </c>
    </row>
    <row r="19" spans="1:8">
      <c r="A19" s="2" t="s">
        <v>6</v>
      </c>
      <c r="B19" s="2" t="s">
        <v>52</v>
      </c>
      <c r="C19" s="2" t="s">
        <v>53</v>
      </c>
      <c r="D19" s="2" t="s">
        <v>31</v>
      </c>
      <c r="E19" s="2" t="s">
        <v>32</v>
      </c>
      <c r="F19" s="139" t="s">
        <v>1926</v>
      </c>
      <c r="G19" s="2" t="s">
        <v>1924</v>
      </c>
      <c r="H19" s="2" t="s">
        <v>1923</v>
      </c>
    </row>
    <row r="20" spans="1:8">
      <c r="A20" s="2" t="s">
        <v>6</v>
      </c>
      <c r="B20" s="2" t="s">
        <v>54</v>
      </c>
      <c r="C20" s="2" t="s">
        <v>55</v>
      </c>
      <c r="D20" s="2" t="s">
        <v>56</v>
      </c>
      <c r="E20" s="2" t="s">
        <v>57</v>
      </c>
      <c r="F20" s="139" t="s">
        <v>1982</v>
      </c>
      <c r="G20" s="2" t="s">
        <v>1980</v>
      </c>
      <c r="H20" s="2" t="s">
        <v>1978</v>
      </c>
    </row>
    <row r="21" spans="1:8">
      <c r="A21" s="2" t="s">
        <v>58</v>
      </c>
      <c r="B21" s="2" t="s">
        <v>29</v>
      </c>
      <c r="C21" s="2" t="s">
        <v>59</v>
      </c>
      <c r="D21" s="2" t="s">
        <v>31</v>
      </c>
      <c r="E21" s="2" t="s">
        <v>32</v>
      </c>
      <c r="F21" s="139" t="s">
        <v>1577</v>
      </c>
      <c r="G21" s="2" t="s">
        <v>1572</v>
      </c>
      <c r="H21" s="2" t="s">
        <v>1570</v>
      </c>
    </row>
    <row r="22" spans="1:8">
      <c r="A22" s="2" t="s">
        <v>58</v>
      </c>
      <c r="B22" s="3" t="s">
        <v>60</v>
      </c>
      <c r="C22" s="2" t="s">
        <v>61</v>
      </c>
      <c r="D22" s="2" t="s">
        <v>31</v>
      </c>
      <c r="E22" s="2" t="s">
        <v>32</v>
      </c>
      <c r="F22" s="139" t="s">
        <v>1859</v>
      </c>
      <c r="G22" s="2" t="s">
        <v>1761</v>
      </c>
      <c r="H22" s="2" t="s">
        <v>1760</v>
      </c>
    </row>
    <row r="23" spans="1:8">
      <c r="A23" s="2" t="s">
        <v>58</v>
      </c>
      <c r="B23" s="2" t="s">
        <v>62</v>
      </c>
      <c r="C23" s="2" t="s">
        <v>63</v>
      </c>
      <c r="D23" s="2" t="s">
        <v>64</v>
      </c>
      <c r="E23" s="2" t="s">
        <v>65</v>
      </c>
      <c r="F23" s="139" t="s">
        <v>1864</v>
      </c>
      <c r="G23" s="2" t="s">
        <v>1862</v>
      </c>
      <c r="H23" s="2" t="s">
        <v>1833</v>
      </c>
    </row>
    <row r="24" spans="1:8">
      <c r="A24" s="2" t="s">
        <v>6</v>
      </c>
      <c r="B24" s="3" t="s">
        <v>66</v>
      </c>
      <c r="C24" s="2" t="s">
        <v>67</v>
      </c>
      <c r="D24" s="2" t="s">
        <v>68</v>
      </c>
      <c r="E24" s="2" t="s">
        <v>69</v>
      </c>
      <c r="F24" s="139" t="s">
        <v>1794</v>
      </c>
      <c r="G24" s="2" t="s">
        <v>1792</v>
      </c>
      <c r="H24" s="2" t="s">
        <v>1791</v>
      </c>
    </row>
    <row r="25" spans="1:8">
      <c r="A25" s="2" t="s">
        <v>6</v>
      </c>
      <c r="B25" s="3" t="s">
        <v>70</v>
      </c>
      <c r="C25" s="2" t="s">
        <v>71</v>
      </c>
      <c r="D25" s="2" t="s">
        <v>68</v>
      </c>
      <c r="E25" s="2" t="s">
        <v>69</v>
      </c>
      <c r="F25" s="139" t="s">
        <v>1603</v>
      </c>
      <c r="G25" s="2" t="s">
        <v>1597</v>
      </c>
      <c r="H25" s="2" t="s">
        <v>1595</v>
      </c>
    </row>
    <row r="26" spans="1:8">
      <c r="A26" s="2" t="s">
        <v>6</v>
      </c>
      <c r="B26" s="2" t="s">
        <v>72</v>
      </c>
      <c r="C26" s="2" t="s">
        <v>73</v>
      </c>
      <c r="D26" s="2" t="s">
        <v>74</v>
      </c>
      <c r="E26" s="2" t="s">
        <v>75</v>
      </c>
      <c r="F26" s="139" t="s">
        <v>1815</v>
      </c>
      <c r="G26" s="2" t="s">
        <v>1812</v>
      </c>
      <c r="H26" s="2" t="s">
        <v>1811</v>
      </c>
    </row>
    <row r="27" spans="1:8">
      <c r="A27" s="2" t="s">
        <v>6</v>
      </c>
      <c r="B27" s="3" t="s">
        <v>76</v>
      </c>
      <c r="C27" s="2" t="s">
        <v>77</v>
      </c>
      <c r="D27" s="2" t="s">
        <v>78</v>
      </c>
      <c r="E27" s="2" t="s">
        <v>69</v>
      </c>
      <c r="F27" s="139" t="s">
        <v>79</v>
      </c>
      <c r="G27" s="2" t="s">
        <v>1713</v>
      </c>
      <c r="H27" s="2" t="s">
        <v>1711</v>
      </c>
    </row>
    <row r="28" spans="1:8">
      <c r="A28" s="2" t="s">
        <v>6</v>
      </c>
      <c r="B28" s="3" t="s">
        <v>80</v>
      </c>
      <c r="C28" s="2" t="s">
        <v>77</v>
      </c>
      <c r="D28" s="2" t="s">
        <v>81</v>
      </c>
      <c r="E28" s="2" t="s">
        <v>69</v>
      </c>
      <c r="F28" s="139" t="s">
        <v>82</v>
      </c>
      <c r="G28" s="2" t="s">
        <v>1733</v>
      </c>
      <c r="H28" s="2" t="s">
        <v>1731</v>
      </c>
    </row>
    <row r="29" spans="1:8">
      <c r="A29" s="2" t="s">
        <v>6</v>
      </c>
      <c r="B29" s="3" t="s">
        <v>83</v>
      </c>
      <c r="C29" s="2" t="s">
        <v>84</v>
      </c>
      <c r="D29" s="2" t="s">
        <v>85</v>
      </c>
      <c r="E29" s="2" t="s">
        <v>69</v>
      </c>
      <c r="F29" s="139" t="s">
        <v>86</v>
      </c>
      <c r="G29" s="2" t="s">
        <v>1726</v>
      </c>
      <c r="H29" s="2" t="s">
        <v>1724</v>
      </c>
    </row>
    <row r="30" spans="1:8">
      <c r="A30" s="2" t="s">
        <v>6</v>
      </c>
      <c r="B30" s="3" t="s">
        <v>87</v>
      </c>
      <c r="C30" s="2" t="s">
        <v>77</v>
      </c>
      <c r="D30" s="2" t="s">
        <v>88</v>
      </c>
      <c r="E30" s="2" t="s">
        <v>69</v>
      </c>
      <c r="F30" s="139" t="s">
        <v>89</v>
      </c>
      <c r="G30" s="2" t="s">
        <v>1742</v>
      </c>
      <c r="H30" s="2" t="s">
        <v>1740</v>
      </c>
    </row>
    <row r="31" spans="1:8">
      <c r="A31" s="2" t="s">
        <v>58</v>
      </c>
      <c r="B31" s="3" t="s">
        <v>76</v>
      </c>
      <c r="C31" s="2" t="s">
        <v>90</v>
      </c>
      <c r="D31" s="2" t="s">
        <v>91</v>
      </c>
      <c r="E31" s="2" t="s">
        <v>69</v>
      </c>
      <c r="F31" s="139" t="s">
        <v>92</v>
      </c>
      <c r="G31" s="2" t="s">
        <v>1851</v>
      </c>
      <c r="H31" s="2" t="s">
        <v>1724</v>
      </c>
    </row>
    <row r="32" spans="1:8">
      <c r="A32" s="2" t="s">
        <v>6</v>
      </c>
      <c r="B32" s="2"/>
      <c r="C32" s="2" t="s">
        <v>94</v>
      </c>
      <c r="D32" s="2" t="s">
        <v>68</v>
      </c>
      <c r="E32" s="2" t="s">
        <v>69</v>
      </c>
      <c r="F32" s="139" t="s">
        <v>2004</v>
      </c>
      <c r="G32" s="2" t="s">
        <v>2002</v>
      </c>
      <c r="H32" s="2" t="s">
        <v>2000</v>
      </c>
    </row>
    <row r="33" spans="1:8">
      <c r="A33" s="2" t="s">
        <v>6</v>
      </c>
      <c r="B33" s="3" t="s">
        <v>95</v>
      </c>
      <c r="C33" s="2" t="s">
        <v>96</v>
      </c>
      <c r="D33" s="2" t="s">
        <v>64</v>
      </c>
      <c r="E33" s="2" t="s">
        <v>65</v>
      </c>
      <c r="F33" s="139" t="s">
        <v>1864</v>
      </c>
      <c r="G33" s="2" t="s">
        <v>1862</v>
      </c>
      <c r="H33" s="2" t="s">
        <v>1833</v>
      </c>
    </row>
    <row r="34" spans="1:8">
      <c r="A34" s="2" t="s">
        <v>1607</v>
      </c>
      <c r="B34" s="2"/>
      <c r="C34" s="2" t="s">
        <v>1609</v>
      </c>
      <c r="D34" s="2" t="s">
        <v>1516</v>
      </c>
      <c r="E34" s="2" t="s">
        <v>32</v>
      </c>
      <c r="F34" s="139" t="s">
        <v>1612</v>
      </c>
      <c r="G34" s="2" t="s">
        <v>1610</v>
      </c>
      <c r="H34" s="2" t="s">
        <v>1511</v>
      </c>
    </row>
    <row r="35" spans="1:8">
      <c r="A35" s="2" t="s">
        <v>1614</v>
      </c>
      <c r="B35" s="2"/>
      <c r="C35" s="2" t="s">
        <v>1621</v>
      </c>
      <c r="D35" s="2" t="s">
        <v>68</v>
      </c>
      <c r="E35" s="2" t="s">
        <v>69</v>
      </c>
      <c r="F35" s="139" t="s">
        <v>1622</v>
      </c>
      <c r="G35" s="2" t="s">
        <v>1619</v>
      </c>
      <c r="H35" s="2" t="s">
        <v>1617</v>
      </c>
    </row>
    <row r="36" spans="1:8">
      <c r="A36" s="2" t="s">
        <v>1624</v>
      </c>
      <c r="B36" s="2"/>
      <c r="C36" s="2" t="s">
        <v>1633</v>
      </c>
      <c r="D36" s="2" t="s">
        <v>1626</v>
      </c>
      <c r="E36" s="2" t="s">
        <v>1629</v>
      </c>
      <c r="F36" s="139" t="s">
        <v>1635</v>
      </c>
      <c r="G36" s="2" t="s">
        <v>1631</v>
      </c>
      <c r="H36" s="2" t="s">
        <v>1628</v>
      </c>
    </row>
    <row r="37" spans="1:8">
      <c r="A37" s="2" t="s">
        <v>1652</v>
      </c>
      <c r="B37" s="2"/>
      <c r="C37" s="2" t="s">
        <v>2015</v>
      </c>
      <c r="D37" s="2" t="s">
        <v>1653</v>
      </c>
      <c r="E37" s="2" t="s">
        <v>32</v>
      </c>
      <c r="F37" s="139" t="s">
        <v>1659</v>
      </c>
      <c r="G37" s="2" t="s">
        <v>1657</v>
      </c>
      <c r="H37" s="2" t="s">
        <v>1655</v>
      </c>
    </row>
    <row r="38" spans="1:8">
      <c r="A38" s="2" t="s">
        <v>1688</v>
      </c>
      <c r="B38" s="2"/>
      <c r="C38" s="2" t="s">
        <v>2016</v>
      </c>
      <c r="D38" s="2" t="s">
        <v>1689</v>
      </c>
      <c r="E38" s="2" t="s">
        <v>32</v>
      </c>
      <c r="F38" s="139" t="s">
        <v>1695</v>
      </c>
      <c r="G38" s="2" t="s">
        <v>1693</v>
      </c>
      <c r="H38" s="2" t="s">
        <v>1691</v>
      </c>
    </row>
    <row r="39" spans="1:8">
      <c r="A39" s="2" t="s">
        <v>1830</v>
      </c>
      <c r="B39" s="2"/>
      <c r="C39" s="2" t="s">
        <v>1360</v>
      </c>
      <c r="D39" s="2" t="s">
        <v>1831</v>
      </c>
      <c r="E39" s="2" t="s">
        <v>65</v>
      </c>
      <c r="F39" s="139" t="s">
        <v>1837</v>
      </c>
      <c r="G39" s="2" t="s">
        <v>1835</v>
      </c>
      <c r="H39" s="2" t="s">
        <v>1833</v>
      </c>
    </row>
    <row r="40" spans="1:8">
      <c r="A40" s="2" t="s">
        <v>1866</v>
      </c>
      <c r="B40" s="2"/>
      <c r="C40" s="2" t="s">
        <v>93</v>
      </c>
      <c r="D40" s="2" t="s">
        <v>1560</v>
      </c>
      <c r="E40" s="2" t="s">
        <v>75</v>
      </c>
      <c r="F40" s="139" t="s">
        <v>1873</v>
      </c>
      <c r="G40" s="2" t="s">
        <v>1871</v>
      </c>
      <c r="H40" s="2" t="s">
        <v>1555</v>
      </c>
    </row>
    <row r="41" spans="1:8">
      <c r="A41" s="2" t="s">
        <v>1885</v>
      </c>
      <c r="B41" s="2"/>
      <c r="C41" s="2" t="s">
        <v>2017</v>
      </c>
      <c r="D41" s="2" t="s">
        <v>1560</v>
      </c>
      <c r="E41" s="2" t="s">
        <v>75</v>
      </c>
      <c r="F41" s="139" t="s">
        <v>1891</v>
      </c>
      <c r="G41" s="2" t="s">
        <v>1889</v>
      </c>
      <c r="H41" s="2" t="s">
        <v>1887</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4B970-6A24-41C2-A161-346ABA12BF7D}">
  <sheetPr codeName="Planilha6" filterMode="1"/>
  <dimension ref="A1:EH53"/>
  <sheetViews>
    <sheetView topLeftCell="G1" workbookViewId="0">
      <selection activeCell="J3" sqref="J3"/>
    </sheetView>
  </sheetViews>
  <sheetFormatPr defaultRowHeight="15"/>
  <cols>
    <col min="1" max="1" width="11.140625" bestFit="1" customWidth="1"/>
    <col min="3" max="3" width="38.140625" bestFit="1" customWidth="1"/>
    <col min="4" max="4" width="27.140625" bestFit="1" customWidth="1"/>
    <col min="7" max="7" width="23.28515625" bestFit="1" customWidth="1"/>
    <col min="11" max="11" width="11.42578125" bestFit="1" customWidth="1"/>
    <col min="13" max="13" width="13.28515625" bestFit="1" customWidth="1"/>
    <col min="14" max="14" width="38.140625" bestFit="1" customWidth="1"/>
    <col min="16" max="16" width="28.140625" bestFit="1" customWidth="1"/>
  </cols>
  <sheetData>
    <row r="1" spans="1:138">
      <c r="A1" t="s">
        <v>1377</v>
      </c>
      <c r="B1" t="s">
        <v>1378</v>
      </c>
      <c r="C1" t="s">
        <v>1379</v>
      </c>
      <c r="D1" t="s">
        <v>1380</v>
      </c>
      <c r="E1" t="s">
        <v>1381</v>
      </c>
      <c r="F1" t="s">
        <v>1382</v>
      </c>
      <c r="G1" t="s">
        <v>1383</v>
      </c>
      <c r="H1" t="s">
        <v>1384</v>
      </c>
      <c r="I1" t="s">
        <v>1385</v>
      </c>
      <c r="J1" t="s">
        <v>1386</v>
      </c>
      <c r="K1" t="s">
        <v>1387</v>
      </c>
      <c r="L1" t="s">
        <v>1388</v>
      </c>
      <c r="M1" t="s">
        <v>1389</v>
      </c>
      <c r="N1" t="s">
        <v>1390</v>
      </c>
      <c r="O1" t="s">
        <v>1391</v>
      </c>
      <c r="P1" t="s">
        <v>1379</v>
      </c>
      <c r="Q1" t="s">
        <v>1380</v>
      </c>
      <c r="R1" t="s">
        <v>1383</v>
      </c>
      <c r="S1" t="s">
        <v>1392</v>
      </c>
      <c r="T1" t="s">
        <v>1393</v>
      </c>
      <c r="U1" t="s">
        <v>1394</v>
      </c>
      <c r="V1" t="s">
        <v>1395</v>
      </c>
      <c r="W1" t="s">
        <v>1396</v>
      </c>
      <c r="X1" t="s">
        <v>1397</v>
      </c>
      <c r="Y1" t="s">
        <v>1398</v>
      </c>
      <c r="Z1" t="s">
        <v>1399</v>
      </c>
      <c r="AA1" t="s">
        <v>1400</v>
      </c>
      <c r="AB1" t="s">
        <v>1401</v>
      </c>
      <c r="AC1" t="s">
        <v>1402</v>
      </c>
      <c r="AD1" t="s">
        <v>1403</v>
      </c>
      <c r="AE1" t="s">
        <v>1404</v>
      </c>
      <c r="AF1" t="s">
        <v>1405</v>
      </c>
      <c r="AG1" t="s">
        <v>1406</v>
      </c>
      <c r="AH1" t="s">
        <v>1407</v>
      </c>
      <c r="AI1" t="s">
        <v>1408</v>
      </c>
      <c r="AJ1" t="s">
        <v>1409</v>
      </c>
      <c r="AK1" t="s">
        <v>1410</v>
      </c>
      <c r="AL1" t="s">
        <v>1411</v>
      </c>
      <c r="AM1" t="s">
        <v>1412</v>
      </c>
      <c r="AN1" t="s">
        <v>1413</v>
      </c>
      <c r="AO1" t="s">
        <v>1414</v>
      </c>
      <c r="AP1" t="s">
        <v>1415</v>
      </c>
      <c r="AQ1" t="s">
        <v>1416</v>
      </c>
      <c r="AR1" t="s">
        <v>1417</v>
      </c>
      <c r="AS1" t="s">
        <v>1418</v>
      </c>
      <c r="AT1" t="s">
        <v>1419</v>
      </c>
      <c r="AU1" t="s">
        <v>1420</v>
      </c>
      <c r="AV1" t="s">
        <v>1421</v>
      </c>
      <c r="AW1" t="s">
        <v>1422</v>
      </c>
      <c r="AX1" t="s">
        <v>1423</v>
      </c>
      <c r="AY1" t="s">
        <v>1424</v>
      </c>
      <c r="AZ1" t="s">
        <v>1425</v>
      </c>
      <c r="BA1" t="s">
        <v>1426</v>
      </c>
      <c r="BB1" t="s">
        <v>1427</v>
      </c>
      <c r="BC1" t="s">
        <v>1428</v>
      </c>
      <c r="BD1" t="s">
        <v>1429</v>
      </c>
      <c r="BE1" t="s">
        <v>1430</v>
      </c>
      <c r="BF1" t="s">
        <v>1431</v>
      </c>
      <c r="BG1" t="s">
        <v>1432</v>
      </c>
      <c r="BH1" t="s">
        <v>1433</v>
      </c>
      <c r="BI1" t="s">
        <v>1434</v>
      </c>
      <c r="BJ1" t="s">
        <v>1435</v>
      </c>
      <c r="BK1" t="s">
        <v>1436</v>
      </c>
      <c r="BL1" t="s">
        <v>1437</v>
      </c>
      <c r="BM1" t="s">
        <v>1438</v>
      </c>
      <c r="BN1" t="s">
        <v>1439</v>
      </c>
      <c r="BO1" t="s">
        <v>1440</v>
      </c>
      <c r="BP1" t="s">
        <v>1441</v>
      </c>
      <c r="BQ1" t="s">
        <v>1442</v>
      </c>
      <c r="BR1" t="s">
        <v>1443</v>
      </c>
      <c r="BS1" t="s">
        <v>1444</v>
      </c>
      <c r="BT1" t="s">
        <v>1445</v>
      </c>
      <c r="BU1" t="s">
        <v>1446</v>
      </c>
      <c r="BV1" t="s">
        <v>1447</v>
      </c>
      <c r="BW1" t="s">
        <v>1448</v>
      </c>
      <c r="BX1" t="s">
        <v>1449</v>
      </c>
      <c r="BY1" t="s">
        <v>1450</v>
      </c>
      <c r="BZ1" t="s">
        <v>1451</v>
      </c>
      <c r="CA1" t="s">
        <v>1452</v>
      </c>
      <c r="CB1" t="s">
        <v>1453</v>
      </c>
      <c r="CC1" t="s">
        <v>1454</v>
      </c>
      <c r="CD1" t="s">
        <v>1455</v>
      </c>
      <c r="CE1" t="s">
        <v>1456</v>
      </c>
      <c r="CF1" t="s">
        <v>1457</v>
      </c>
      <c r="CG1" t="s">
        <v>1458</v>
      </c>
      <c r="CH1" t="s">
        <v>1459</v>
      </c>
      <c r="CI1" t="s">
        <v>1460</v>
      </c>
      <c r="CJ1" t="s">
        <v>1461</v>
      </c>
      <c r="CK1" t="s">
        <v>1462</v>
      </c>
      <c r="CL1" t="s">
        <v>1463</v>
      </c>
      <c r="CM1" t="s">
        <v>1464</v>
      </c>
      <c r="CN1" t="s">
        <v>1465</v>
      </c>
      <c r="CO1" t="s">
        <v>1466</v>
      </c>
      <c r="CP1" t="s">
        <v>1467</v>
      </c>
      <c r="CQ1" t="s">
        <v>1468</v>
      </c>
      <c r="CR1" t="s">
        <v>1469</v>
      </c>
      <c r="CS1" t="s">
        <v>1470</v>
      </c>
      <c r="CT1" t="s">
        <v>1471</v>
      </c>
      <c r="CU1" t="s">
        <v>1472</v>
      </c>
      <c r="CV1" t="s">
        <v>1473</v>
      </c>
      <c r="CW1" t="s">
        <v>1474</v>
      </c>
      <c r="CX1" t="s">
        <v>1475</v>
      </c>
      <c r="CY1" t="s">
        <v>1476</v>
      </c>
      <c r="CZ1" t="s">
        <v>1477</v>
      </c>
      <c r="DA1" t="s">
        <v>1478</v>
      </c>
      <c r="DB1" t="s">
        <v>1479</v>
      </c>
      <c r="DC1" t="s">
        <v>1480</v>
      </c>
      <c r="DD1" t="s">
        <v>1481</v>
      </c>
      <c r="DE1" t="s">
        <v>1482</v>
      </c>
      <c r="DF1" t="s">
        <v>1483</v>
      </c>
      <c r="DG1" t="s">
        <v>1484</v>
      </c>
      <c r="DH1" t="s">
        <v>1485</v>
      </c>
      <c r="DI1" t="s">
        <v>1486</v>
      </c>
      <c r="DJ1" t="s">
        <v>1487</v>
      </c>
      <c r="DK1" t="s">
        <v>1488</v>
      </c>
      <c r="DL1" t="s">
        <v>1489</v>
      </c>
      <c r="DM1" t="s">
        <v>1490</v>
      </c>
      <c r="DN1" t="s">
        <v>1491</v>
      </c>
      <c r="DO1" t="s">
        <v>1492</v>
      </c>
      <c r="DP1" t="s">
        <v>1493</v>
      </c>
      <c r="DQ1" t="s">
        <v>1494</v>
      </c>
      <c r="DR1" t="s">
        <v>1495</v>
      </c>
      <c r="DS1" t="s">
        <v>1496</v>
      </c>
      <c r="DT1" t="s">
        <v>1497</v>
      </c>
      <c r="DU1" t="s">
        <v>1498</v>
      </c>
      <c r="DV1" t="s">
        <v>1499</v>
      </c>
      <c r="DW1" t="s">
        <v>1500</v>
      </c>
      <c r="DX1" t="s">
        <v>1379</v>
      </c>
      <c r="DY1" t="s">
        <v>1380</v>
      </c>
      <c r="DZ1" t="s">
        <v>1381</v>
      </c>
      <c r="EA1" t="s">
        <v>1501</v>
      </c>
      <c r="EB1" t="s">
        <v>1392</v>
      </c>
      <c r="EC1" t="s">
        <v>1502</v>
      </c>
      <c r="ED1" t="s">
        <v>1390</v>
      </c>
      <c r="EE1" t="s">
        <v>1503</v>
      </c>
      <c r="EF1" t="s">
        <v>1504</v>
      </c>
      <c r="EG1" t="s">
        <v>1505</v>
      </c>
      <c r="EH1" t="s">
        <v>1506</v>
      </c>
    </row>
    <row r="2" spans="1:138" hidden="1">
      <c r="A2" t="s">
        <v>1507</v>
      </c>
      <c r="B2" t="s">
        <v>1508</v>
      </c>
      <c r="C2" t="s">
        <v>1509</v>
      </c>
      <c r="D2" t="s">
        <v>1360</v>
      </c>
      <c r="E2" t="s">
        <v>1360</v>
      </c>
      <c r="F2" t="s">
        <v>1360</v>
      </c>
      <c r="G2" t="s">
        <v>31</v>
      </c>
      <c r="H2" t="s">
        <v>1510</v>
      </c>
      <c r="I2" t="s">
        <v>1360</v>
      </c>
      <c r="J2" t="s">
        <v>1360</v>
      </c>
      <c r="K2" t="s">
        <v>1511</v>
      </c>
      <c r="L2" t="s">
        <v>32</v>
      </c>
      <c r="M2" t="s">
        <v>1512</v>
      </c>
      <c r="N2" t="s">
        <v>1513</v>
      </c>
      <c r="O2" t="s">
        <v>1514</v>
      </c>
      <c r="P2" t="s">
        <v>1515</v>
      </c>
      <c r="Q2" t="s">
        <v>1360</v>
      </c>
      <c r="R2" t="s">
        <v>1516</v>
      </c>
      <c r="S2" t="s">
        <v>1360</v>
      </c>
      <c r="T2" t="s">
        <v>1360</v>
      </c>
      <c r="U2" t="s">
        <v>1517</v>
      </c>
      <c r="V2" t="s">
        <v>1517</v>
      </c>
      <c r="W2" t="s">
        <v>1360</v>
      </c>
      <c r="X2" t="s">
        <v>1360</v>
      </c>
      <c r="Y2" t="s">
        <v>1517</v>
      </c>
      <c r="Z2" t="s">
        <v>1360</v>
      </c>
      <c r="AA2" t="s">
        <v>1360</v>
      </c>
      <c r="AB2" t="s">
        <v>1518</v>
      </c>
      <c r="AC2">
        <v>42848</v>
      </c>
      <c r="AD2" t="s">
        <v>1519</v>
      </c>
      <c r="AE2" t="s">
        <v>1360</v>
      </c>
      <c r="AF2" t="s">
        <v>1520</v>
      </c>
      <c r="AG2" t="s">
        <v>1521</v>
      </c>
      <c r="AH2" t="s">
        <v>1507</v>
      </c>
      <c r="AI2" t="s">
        <v>1360</v>
      </c>
      <c r="AJ2" t="s">
        <v>1360</v>
      </c>
      <c r="AK2" t="s">
        <v>1360</v>
      </c>
      <c r="AL2" t="s">
        <v>1360</v>
      </c>
      <c r="AM2" t="s">
        <v>1522</v>
      </c>
      <c r="AN2" t="s">
        <v>1523</v>
      </c>
      <c r="AO2" t="e">
        <f>_xlfn.XLOOKUP(AN2,#REF!,#REF!)</f>
        <v>#REF!</v>
      </c>
      <c r="AP2" t="s">
        <v>1360</v>
      </c>
      <c r="AQ2" t="s">
        <v>1360</v>
      </c>
      <c r="AR2" t="s">
        <v>1360</v>
      </c>
      <c r="AS2" t="s">
        <v>1524</v>
      </c>
      <c r="AT2" t="s">
        <v>1525</v>
      </c>
      <c r="AU2" t="s">
        <v>1526</v>
      </c>
      <c r="AV2" t="s">
        <v>1360</v>
      </c>
      <c r="AW2" t="s">
        <v>1360</v>
      </c>
      <c r="AX2" t="s">
        <v>1360</v>
      </c>
      <c r="AY2" t="s">
        <v>1360</v>
      </c>
      <c r="AZ2" t="s">
        <v>6</v>
      </c>
      <c r="BA2" t="s">
        <v>1360</v>
      </c>
      <c r="BB2" t="s">
        <v>1360</v>
      </c>
      <c r="BC2" t="s">
        <v>1360</v>
      </c>
      <c r="BD2" t="s">
        <v>1360</v>
      </c>
      <c r="BE2" t="s">
        <v>1360</v>
      </c>
      <c r="BG2" t="s">
        <v>1360</v>
      </c>
      <c r="BH2" t="s">
        <v>1360</v>
      </c>
      <c r="BJ2" t="s">
        <v>1360</v>
      </c>
      <c r="BK2" t="s">
        <v>1360</v>
      </c>
      <c r="BL2" t="s">
        <v>1360</v>
      </c>
      <c r="BM2" t="s">
        <v>1360</v>
      </c>
      <c r="BN2" t="s">
        <v>1360</v>
      </c>
      <c r="BO2" t="s">
        <v>1360</v>
      </c>
      <c r="BP2" t="s">
        <v>1360</v>
      </c>
      <c r="BQ2" t="s">
        <v>1527</v>
      </c>
      <c r="BR2" t="s">
        <v>1528</v>
      </c>
      <c r="BS2" t="s">
        <v>1360</v>
      </c>
      <c r="BT2" t="s">
        <v>1360</v>
      </c>
      <c r="BU2" t="s">
        <v>1360</v>
      </c>
      <c r="BV2" t="s">
        <v>1360</v>
      </c>
      <c r="BW2" t="s">
        <v>1360</v>
      </c>
      <c r="BX2" t="s">
        <v>1360</v>
      </c>
      <c r="BY2" t="s">
        <v>1360</v>
      </c>
      <c r="BZ2" t="s">
        <v>1360</v>
      </c>
      <c r="CA2" t="s">
        <v>1360</v>
      </c>
      <c r="CB2" t="s">
        <v>1360</v>
      </c>
      <c r="CC2" t="s">
        <v>1529</v>
      </c>
      <c r="CD2" t="s">
        <v>1360</v>
      </c>
      <c r="CE2" t="s">
        <v>1360</v>
      </c>
      <c r="CF2" t="s">
        <v>1360</v>
      </c>
      <c r="CG2" t="s">
        <v>1360</v>
      </c>
      <c r="CH2" t="s">
        <v>1517</v>
      </c>
      <c r="CI2" t="s">
        <v>1360</v>
      </c>
      <c r="CJ2" t="s">
        <v>1360</v>
      </c>
      <c r="CK2" t="s">
        <v>1360</v>
      </c>
      <c r="CL2" t="s">
        <v>1360</v>
      </c>
      <c r="CM2" t="s">
        <v>1360</v>
      </c>
      <c r="CN2" t="s">
        <v>1360</v>
      </c>
      <c r="CO2" t="s">
        <v>1360</v>
      </c>
      <c r="CP2" t="s">
        <v>1360</v>
      </c>
      <c r="CR2">
        <v>0</v>
      </c>
      <c r="CS2" t="s">
        <v>1360</v>
      </c>
      <c r="CU2" t="s">
        <v>1360</v>
      </c>
      <c r="CV2" t="s">
        <v>1360</v>
      </c>
      <c r="CW2" t="s">
        <v>1360</v>
      </c>
      <c r="CX2" t="s">
        <v>1360</v>
      </c>
      <c r="CY2" t="s">
        <v>1360</v>
      </c>
      <c r="CZ2" t="s">
        <v>1360</v>
      </c>
      <c r="DA2" t="s">
        <v>1360</v>
      </c>
      <c r="DB2" t="s">
        <v>1360</v>
      </c>
      <c r="DC2" t="s">
        <v>1360</v>
      </c>
      <c r="DD2" t="s">
        <v>1360</v>
      </c>
      <c r="DE2" t="s">
        <v>1360</v>
      </c>
      <c r="DG2" t="s">
        <v>1517</v>
      </c>
      <c r="DH2" t="s">
        <v>1360</v>
      </c>
      <c r="DJ2" t="s">
        <v>1360</v>
      </c>
      <c r="DK2" t="s">
        <v>1517</v>
      </c>
      <c r="DL2" t="s">
        <v>1360</v>
      </c>
      <c r="DM2" t="s">
        <v>1360</v>
      </c>
      <c r="DN2" t="s">
        <v>1360</v>
      </c>
      <c r="DO2" t="s">
        <v>1360</v>
      </c>
      <c r="DP2" t="s">
        <v>1360</v>
      </c>
      <c r="DQ2" t="s">
        <v>1360</v>
      </c>
      <c r="DR2">
        <v>0</v>
      </c>
      <c r="DS2" t="s">
        <v>1360</v>
      </c>
      <c r="DT2" t="s">
        <v>1360</v>
      </c>
      <c r="DU2" t="s">
        <v>1360</v>
      </c>
      <c r="DV2" t="s">
        <v>1360</v>
      </c>
      <c r="DW2" t="s">
        <v>1360</v>
      </c>
      <c r="DX2" t="s">
        <v>1360</v>
      </c>
      <c r="DY2" t="s">
        <v>1360</v>
      </c>
      <c r="DZ2" t="s">
        <v>1360</v>
      </c>
      <c r="EA2" t="s">
        <v>1360</v>
      </c>
      <c r="EB2" t="s">
        <v>1360</v>
      </c>
      <c r="EC2" t="s">
        <v>1360</v>
      </c>
      <c r="ED2" t="s">
        <v>1360</v>
      </c>
      <c r="EE2" t="s">
        <v>1360</v>
      </c>
      <c r="EF2">
        <v>0</v>
      </c>
      <c r="EG2" t="s">
        <v>1360</v>
      </c>
      <c r="EH2" t="s">
        <v>1360</v>
      </c>
    </row>
    <row r="3" spans="1:138" hidden="1">
      <c r="A3" t="s">
        <v>1530</v>
      </c>
      <c r="B3" t="s">
        <v>1508</v>
      </c>
      <c r="C3" t="s">
        <v>1531</v>
      </c>
      <c r="D3" t="s">
        <v>1532</v>
      </c>
      <c r="E3" t="s">
        <v>1360</v>
      </c>
      <c r="F3" t="s">
        <v>1360</v>
      </c>
      <c r="G3" t="s">
        <v>1533</v>
      </c>
      <c r="H3" t="s">
        <v>1360</v>
      </c>
      <c r="I3" t="s">
        <v>1360</v>
      </c>
      <c r="J3" t="s">
        <v>1360</v>
      </c>
      <c r="K3" t="s">
        <v>1511</v>
      </c>
      <c r="L3" t="s">
        <v>32</v>
      </c>
      <c r="M3" t="s">
        <v>1534</v>
      </c>
      <c r="N3" t="s">
        <v>1513</v>
      </c>
      <c r="O3" t="s">
        <v>1535</v>
      </c>
      <c r="P3" t="s">
        <v>1536</v>
      </c>
      <c r="Q3" t="s">
        <v>1537</v>
      </c>
      <c r="R3" t="s">
        <v>1538</v>
      </c>
      <c r="S3" t="s">
        <v>1360</v>
      </c>
      <c r="T3" t="s">
        <v>1360</v>
      </c>
      <c r="U3" t="s">
        <v>1517</v>
      </c>
      <c r="V3" t="s">
        <v>1517</v>
      </c>
      <c r="W3" t="s">
        <v>1360</v>
      </c>
      <c r="X3" t="s">
        <v>1360</v>
      </c>
      <c r="Y3" t="s">
        <v>1517</v>
      </c>
      <c r="Z3" t="s">
        <v>1360</v>
      </c>
      <c r="AA3" t="s">
        <v>1360</v>
      </c>
      <c r="AB3" t="s">
        <v>1360</v>
      </c>
      <c r="AC3">
        <v>43579</v>
      </c>
      <c r="AD3" t="s">
        <v>1539</v>
      </c>
      <c r="AE3" t="s">
        <v>1360</v>
      </c>
      <c r="AF3" t="s">
        <v>1540</v>
      </c>
      <c r="AG3" t="s">
        <v>1521</v>
      </c>
      <c r="AH3" t="s">
        <v>1530</v>
      </c>
      <c r="AI3" t="s">
        <v>1360</v>
      </c>
      <c r="AJ3" t="s">
        <v>1360</v>
      </c>
      <c r="AK3" t="s">
        <v>1360</v>
      </c>
      <c r="AL3" t="s">
        <v>1360</v>
      </c>
      <c r="AM3" t="s">
        <v>1522</v>
      </c>
      <c r="AN3" t="s">
        <v>1360</v>
      </c>
      <c r="AO3" t="e">
        <f>_xlfn.XLOOKUP(AN3,#REF!,#REF!)</f>
        <v>#REF!</v>
      </c>
      <c r="AP3" t="s">
        <v>1360</v>
      </c>
      <c r="AQ3" t="s">
        <v>1360</v>
      </c>
      <c r="AR3" t="s">
        <v>1360</v>
      </c>
      <c r="AS3" t="s">
        <v>1541</v>
      </c>
      <c r="AT3" t="s">
        <v>1360</v>
      </c>
      <c r="AU3" t="s">
        <v>1542</v>
      </c>
      <c r="AV3" t="s">
        <v>1360</v>
      </c>
      <c r="AW3" t="s">
        <v>1360</v>
      </c>
      <c r="AX3" t="s">
        <v>1360</v>
      </c>
      <c r="AY3" t="s">
        <v>1360</v>
      </c>
      <c r="AZ3" t="s">
        <v>6</v>
      </c>
      <c r="BA3" t="s">
        <v>1360</v>
      </c>
      <c r="BB3" t="s">
        <v>1360</v>
      </c>
      <c r="BC3" t="s">
        <v>1360</v>
      </c>
      <c r="BD3" t="s">
        <v>1360</v>
      </c>
      <c r="BE3" t="s">
        <v>1360</v>
      </c>
      <c r="BG3" t="s">
        <v>1360</v>
      </c>
      <c r="BH3" t="s">
        <v>1360</v>
      </c>
      <c r="BJ3" t="s">
        <v>1360</v>
      </c>
      <c r="BK3" t="s">
        <v>1360</v>
      </c>
      <c r="BL3" t="s">
        <v>1360</v>
      </c>
      <c r="BM3" t="s">
        <v>1360</v>
      </c>
      <c r="BN3" t="s">
        <v>1360</v>
      </c>
      <c r="BO3" t="s">
        <v>1360</v>
      </c>
      <c r="BP3" t="s">
        <v>1360</v>
      </c>
      <c r="BQ3" t="s">
        <v>1527</v>
      </c>
      <c r="BR3" t="s">
        <v>1528</v>
      </c>
      <c r="BS3" t="s">
        <v>1360</v>
      </c>
      <c r="BT3" t="s">
        <v>1360</v>
      </c>
      <c r="BU3" t="s">
        <v>1360</v>
      </c>
      <c r="BV3" t="s">
        <v>1360</v>
      </c>
      <c r="BW3" t="s">
        <v>1360</v>
      </c>
      <c r="BX3" t="s">
        <v>1360</v>
      </c>
      <c r="BY3" t="s">
        <v>1360</v>
      </c>
      <c r="BZ3" t="s">
        <v>1360</v>
      </c>
      <c r="CA3" t="s">
        <v>1360</v>
      </c>
      <c r="CB3" t="s">
        <v>1360</v>
      </c>
      <c r="CC3" t="s">
        <v>1360</v>
      </c>
      <c r="CD3" t="s">
        <v>1360</v>
      </c>
      <c r="CE3" t="s">
        <v>1360</v>
      </c>
      <c r="CF3" t="s">
        <v>1360</v>
      </c>
      <c r="CG3" t="s">
        <v>1360</v>
      </c>
      <c r="CH3" t="s">
        <v>1517</v>
      </c>
      <c r="CI3" t="s">
        <v>1360</v>
      </c>
      <c r="CJ3" t="s">
        <v>1360</v>
      </c>
      <c r="CK3" t="s">
        <v>1360</v>
      </c>
      <c r="CL3" t="s">
        <v>1360</v>
      </c>
      <c r="CM3" t="s">
        <v>1360</v>
      </c>
      <c r="CN3" t="s">
        <v>1360</v>
      </c>
      <c r="CO3" t="s">
        <v>1360</v>
      </c>
      <c r="CP3" t="s">
        <v>1360</v>
      </c>
      <c r="CR3">
        <v>0</v>
      </c>
      <c r="CS3" t="s">
        <v>1360</v>
      </c>
      <c r="CU3" t="s">
        <v>1360</v>
      </c>
      <c r="CV3" t="s">
        <v>1360</v>
      </c>
      <c r="CW3" t="s">
        <v>1360</v>
      </c>
      <c r="CX3" t="s">
        <v>1360</v>
      </c>
      <c r="CY3" t="s">
        <v>1360</v>
      </c>
      <c r="CZ3" t="s">
        <v>1360</v>
      </c>
      <c r="DA3" t="s">
        <v>1360</v>
      </c>
      <c r="DB3" t="s">
        <v>1360</v>
      </c>
      <c r="DC3" t="s">
        <v>1360</v>
      </c>
      <c r="DD3" t="s">
        <v>1360</v>
      </c>
      <c r="DE3" t="s">
        <v>1360</v>
      </c>
      <c r="DG3" t="s">
        <v>1517</v>
      </c>
      <c r="DH3" t="s">
        <v>1360</v>
      </c>
      <c r="DJ3" t="s">
        <v>1360</v>
      </c>
      <c r="DK3" t="s">
        <v>1517</v>
      </c>
      <c r="DL3" t="s">
        <v>1360</v>
      </c>
      <c r="DM3" t="s">
        <v>1360</v>
      </c>
      <c r="DN3" t="s">
        <v>1360</v>
      </c>
      <c r="DO3" t="s">
        <v>1360</v>
      </c>
      <c r="DP3" t="s">
        <v>1360</v>
      </c>
      <c r="DQ3" t="s">
        <v>1360</v>
      </c>
      <c r="DR3">
        <v>0</v>
      </c>
      <c r="DS3" t="s">
        <v>1360</v>
      </c>
      <c r="DT3" t="s">
        <v>1360</v>
      </c>
      <c r="DU3" t="s">
        <v>1360</v>
      </c>
      <c r="DV3" t="s">
        <v>1360</v>
      </c>
      <c r="DW3" t="s">
        <v>1360</v>
      </c>
      <c r="DX3" t="s">
        <v>1360</v>
      </c>
      <c r="DY3" t="s">
        <v>1360</v>
      </c>
      <c r="DZ3" t="s">
        <v>1360</v>
      </c>
      <c r="EA3" t="s">
        <v>1360</v>
      </c>
      <c r="EB3" t="s">
        <v>1360</v>
      </c>
      <c r="EC3" t="s">
        <v>1360</v>
      </c>
      <c r="ED3" t="s">
        <v>1360</v>
      </c>
      <c r="EE3" t="s">
        <v>1360</v>
      </c>
      <c r="EF3">
        <v>0</v>
      </c>
      <c r="EG3" t="s">
        <v>1360</v>
      </c>
      <c r="EH3" t="s">
        <v>1360</v>
      </c>
    </row>
    <row r="4" spans="1:138" hidden="1">
      <c r="A4" t="s">
        <v>1543</v>
      </c>
      <c r="B4" t="s">
        <v>1508</v>
      </c>
      <c r="C4" t="s">
        <v>1531</v>
      </c>
      <c r="D4" t="s">
        <v>1544</v>
      </c>
      <c r="E4" t="s">
        <v>1360</v>
      </c>
      <c r="F4" t="s">
        <v>1360</v>
      </c>
      <c r="G4" t="s">
        <v>31</v>
      </c>
      <c r="H4" t="s">
        <v>1360</v>
      </c>
      <c r="I4" t="s">
        <v>1360</v>
      </c>
      <c r="J4" t="s">
        <v>1360</v>
      </c>
      <c r="K4" t="s">
        <v>1545</v>
      </c>
      <c r="L4" t="s">
        <v>32</v>
      </c>
      <c r="M4" t="s">
        <v>1546</v>
      </c>
      <c r="N4" t="s">
        <v>1547</v>
      </c>
      <c r="O4" t="s">
        <v>1548</v>
      </c>
      <c r="P4" t="s">
        <v>1536</v>
      </c>
      <c r="Q4" t="s">
        <v>1549</v>
      </c>
      <c r="R4" t="s">
        <v>1516</v>
      </c>
      <c r="S4" t="s">
        <v>1360</v>
      </c>
      <c r="T4" t="s">
        <v>1360</v>
      </c>
      <c r="U4" t="s">
        <v>1517</v>
      </c>
      <c r="V4" t="s">
        <v>1517</v>
      </c>
      <c r="W4" t="s">
        <v>1360</v>
      </c>
      <c r="X4" t="s">
        <v>1360</v>
      </c>
      <c r="Y4" t="s">
        <v>1517</v>
      </c>
      <c r="Z4" t="s">
        <v>1360</v>
      </c>
      <c r="AA4" t="s">
        <v>1360</v>
      </c>
      <c r="AB4" t="s">
        <v>1360</v>
      </c>
      <c r="AC4">
        <v>43579</v>
      </c>
      <c r="AD4" t="s">
        <v>1539</v>
      </c>
      <c r="AE4" t="s">
        <v>1360</v>
      </c>
      <c r="AF4" t="s">
        <v>1550</v>
      </c>
      <c r="AG4" t="s">
        <v>1521</v>
      </c>
      <c r="AH4" t="s">
        <v>1360</v>
      </c>
      <c r="AI4" t="s">
        <v>1360</v>
      </c>
      <c r="AJ4" t="s">
        <v>1360</v>
      </c>
      <c r="AK4" t="s">
        <v>1360</v>
      </c>
      <c r="AL4" t="s">
        <v>1360</v>
      </c>
      <c r="AM4" t="s">
        <v>1522</v>
      </c>
      <c r="AN4" t="s">
        <v>1360</v>
      </c>
      <c r="AO4" t="e">
        <f>_xlfn.XLOOKUP(AN4,#REF!,#REF!)</f>
        <v>#REF!</v>
      </c>
      <c r="AP4" t="s">
        <v>1360</v>
      </c>
      <c r="AQ4" t="s">
        <v>1360</v>
      </c>
      <c r="AR4" t="s">
        <v>1360</v>
      </c>
      <c r="AS4" t="s">
        <v>1551</v>
      </c>
      <c r="AT4" t="s">
        <v>1360</v>
      </c>
      <c r="AU4" t="s">
        <v>1551</v>
      </c>
      <c r="AV4" t="s">
        <v>1360</v>
      </c>
      <c r="AW4" t="s">
        <v>1360</v>
      </c>
      <c r="AX4" t="s">
        <v>1360</v>
      </c>
      <c r="AY4" t="s">
        <v>1360</v>
      </c>
      <c r="AZ4" t="s">
        <v>6</v>
      </c>
      <c r="BA4" t="s">
        <v>1360</v>
      </c>
      <c r="BB4" t="s">
        <v>1360</v>
      </c>
      <c r="BC4" t="s">
        <v>1360</v>
      </c>
      <c r="BD4" t="s">
        <v>1360</v>
      </c>
      <c r="BE4" t="s">
        <v>1360</v>
      </c>
      <c r="BG4" t="s">
        <v>1360</v>
      </c>
      <c r="BH4" t="s">
        <v>1360</v>
      </c>
      <c r="BJ4" t="s">
        <v>1360</v>
      </c>
      <c r="BK4" t="s">
        <v>1360</v>
      </c>
      <c r="BL4" t="s">
        <v>1360</v>
      </c>
      <c r="BM4" t="s">
        <v>1360</v>
      </c>
      <c r="BN4" t="s">
        <v>1360</v>
      </c>
      <c r="BO4" t="s">
        <v>1360</v>
      </c>
      <c r="BP4" t="s">
        <v>1360</v>
      </c>
      <c r="BQ4" t="s">
        <v>1527</v>
      </c>
      <c r="BR4" t="s">
        <v>1528</v>
      </c>
      <c r="BS4" t="s">
        <v>1360</v>
      </c>
      <c r="BT4" t="s">
        <v>1360</v>
      </c>
      <c r="BU4" t="s">
        <v>1360</v>
      </c>
      <c r="BV4" t="s">
        <v>1360</v>
      </c>
      <c r="BW4" t="s">
        <v>1360</v>
      </c>
      <c r="BX4" t="s">
        <v>1360</v>
      </c>
      <c r="BY4" t="s">
        <v>1360</v>
      </c>
      <c r="BZ4" t="s">
        <v>1360</v>
      </c>
      <c r="CA4" t="s">
        <v>1360</v>
      </c>
      <c r="CB4" t="s">
        <v>1360</v>
      </c>
      <c r="CC4" t="s">
        <v>1360</v>
      </c>
      <c r="CD4" t="s">
        <v>1360</v>
      </c>
      <c r="CE4" t="s">
        <v>1360</v>
      </c>
      <c r="CF4" t="s">
        <v>1360</v>
      </c>
      <c r="CG4" t="s">
        <v>1360</v>
      </c>
      <c r="CH4" t="s">
        <v>1517</v>
      </c>
      <c r="CI4" t="s">
        <v>1360</v>
      </c>
      <c r="CJ4" t="s">
        <v>1360</v>
      </c>
      <c r="CK4" t="s">
        <v>1360</v>
      </c>
      <c r="CL4" t="s">
        <v>1360</v>
      </c>
      <c r="CM4" t="s">
        <v>1360</v>
      </c>
      <c r="CN4" t="s">
        <v>1360</v>
      </c>
      <c r="CO4" t="s">
        <v>1360</v>
      </c>
      <c r="CP4" t="s">
        <v>1360</v>
      </c>
      <c r="CR4">
        <v>0</v>
      </c>
      <c r="CS4" t="s">
        <v>1360</v>
      </c>
      <c r="CU4" t="s">
        <v>1360</v>
      </c>
      <c r="CV4" t="s">
        <v>1360</v>
      </c>
      <c r="CW4" t="s">
        <v>1360</v>
      </c>
      <c r="CX4" t="s">
        <v>1360</v>
      </c>
      <c r="CY4" t="s">
        <v>1360</v>
      </c>
      <c r="CZ4" t="s">
        <v>1360</v>
      </c>
      <c r="DA4" t="s">
        <v>1360</v>
      </c>
      <c r="DB4" t="s">
        <v>1360</v>
      </c>
      <c r="DC4" t="s">
        <v>1360</v>
      </c>
      <c r="DD4" t="s">
        <v>1360</v>
      </c>
      <c r="DE4" t="s">
        <v>1360</v>
      </c>
      <c r="DG4" t="s">
        <v>1517</v>
      </c>
      <c r="DH4" t="s">
        <v>1360</v>
      </c>
      <c r="DJ4" t="s">
        <v>1360</v>
      </c>
      <c r="DK4" t="s">
        <v>1517</v>
      </c>
      <c r="DL4" t="s">
        <v>1360</v>
      </c>
      <c r="DM4" t="s">
        <v>1360</v>
      </c>
      <c r="DN4" t="s">
        <v>1360</v>
      </c>
      <c r="DO4" t="s">
        <v>1360</v>
      </c>
      <c r="DP4" t="s">
        <v>1360</v>
      </c>
      <c r="DQ4" t="s">
        <v>1360</v>
      </c>
      <c r="DR4">
        <v>0</v>
      </c>
      <c r="DS4" t="s">
        <v>1360</v>
      </c>
      <c r="DT4" t="s">
        <v>1360</v>
      </c>
      <c r="DU4" t="s">
        <v>1360</v>
      </c>
      <c r="DV4" t="s">
        <v>1360</v>
      </c>
      <c r="DW4" t="s">
        <v>1360</v>
      </c>
      <c r="DX4" t="s">
        <v>1360</v>
      </c>
      <c r="DY4" t="s">
        <v>1360</v>
      </c>
      <c r="DZ4" t="s">
        <v>1360</v>
      </c>
      <c r="EA4" t="s">
        <v>1360</v>
      </c>
      <c r="EB4" t="s">
        <v>1360</v>
      </c>
      <c r="EC4" t="s">
        <v>1360</v>
      </c>
      <c r="ED4" t="s">
        <v>1360</v>
      </c>
      <c r="EE4" t="s">
        <v>1360</v>
      </c>
      <c r="EF4">
        <v>0</v>
      </c>
      <c r="EG4" t="s">
        <v>1360</v>
      </c>
      <c r="EH4" t="s">
        <v>1360</v>
      </c>
    </row>
    <row r="5" spans="1:138">
      <c r="A5" t="s">
        <v>1552</v>
      </c>
      <c r="B5" t="s">
        <v>1508</v>
      </c>
      <c r="C5" t="s">
        <v>1553</v>
      </c>
      <c r="D5" t="s">
        <v>1360</v>
      </c>
      <c r="E5" t="s">
        <v>1360</v>
      </c>
      <c r="F5" t="s">
        <v>1360</v>
      </c>
      <c r="G5" t="s">
        <v>74</v>
      </c>
      <c r="H5" t="s">
        <v>1554</v>
      </c>
      <c r="I5" t="s">
        <v>1360</v>
      </c>
      <c r="J5" t="s">
        <v>1360</v>
      </c>
      <c r="K5" t="s">
        <v>1555</v>
      </c>
      <c r="L5" t="s">
        <v>75</v>
      </c>
      <c r="M5" t="s">
        <v>1556</v>
      </c>
      <c r="N5" t="s">
        <v>1557</v>
      </c>
      <c r="O5" t="s">
        <v>1558</v>
      </c>
      <c r="P5" t="s">
        <v>1559</v>
      </c>
      <c r="Q5" t="s">
        <v>1360</v>
      </c>
      <c r="R5" t="s">
        <v>1560</v>
      </c>
      <c r="S5" t="s">
        <v>1360</v>
      </c>
      <c r="T5" t="s">
        <v>1360</v>
      </c>
      <c r="U5" t="s">
        <v>1517</v>
      </c>
      <c r="V5" t="s">
        <v>1517</v>
      </c>
      <c r="W5" t="s">
        <v>1360</v>
      </c>
      <c r="X5" t="s">
        <v>1360</v>
      </c>
      <c r="Y5" t="s">
        <v>1517</v>
      </c>
      <c r="Z5" t="s">
        <v>1360</v>
      </c>
      <c r="AA5" t="s">
        <v>1360</v>
      </c>
      <c r="AB5" t="s">
        <v>1518</v>
      </c>
      <c r="AC5">
        <v>42852</v>
      </c>
      <c r="AD5" t="s">
        <v>1519</v>
      </c>
      <c r="AE5" t="s">
        <v>1360</v>
      </c>
      <c r="AF5" t="s">
        <v>1561</v>
      </c>
      <c r="AG5" t="s">
        <v>1521</v>
      </c>
      <c r="AH5" t="s">
        <v>1552</v>
      </c>
      <c r="AI5" t="s">
        <v>1360</v>
      </c>
      <c r="AJ5" t="s">
        <v>1360</v>
      </c>
      <c r="AK5" t="s">
        <v>1360</v>
      </c>
      <c r="AL5" t="s">
        <v>1360</v>
      </c>
      <c r="AM5" t="s">
        <v>1522</v>
      </c>
      <c r="AN5" t="s">
        <v>1562</v>
      </c>
      <c r="AO5" t="e">
        <f>_xlfn.XLOOKUP(AN5,#REF!,#REF!)</f>
        <v>#REF!</v>
      </c>
      <c r="AP5" t="s">
        <v>1360</v>
      </c>
      <c r="AQ5" t="s">
        <v>1360</v>
      </c>
      <c r="AR5" t="s">
        <v>1360</v>
      </c>
      <c r="AS5" t="s">
        <v>1563</v>
      </c>
      <c r="AT5" t="s">
        <v>1360</v>
      </c>
      <c r="AU5" t="s">
        <v>1563</v>
      </c>
      <c r="AV5" t="s">
        <v>1360</v>
      </c>
      <c r="AW5" t="s">
        <v>1360</v>
      </c>
      <c r="AX5" t="s">
        <v>1360</v>
      </c>
      <c r="AY5" t="s">
        <v>1360</v>
      </c>
      <c r="AZ5" t="s">
        <v>6</v>
      </c>
      <c r="BA5" t="s">
        <v>1360</v>
      </c>
      <c r="BB5" t="s">
        <v>1360</v>
      </c>
      <c r="BC5" t="s">
        <v>1360</v>
      </c>
      <c r="BD5" t="s">
        <v>1360</v>
      </c>
      <c r="BE5" t="s">
        <v>1360</v>
      </c>
      <c r="BG5" t="s">
        <v>1360</v>
      </c>
      <c r="BH5" t="s">
        <v>1360</v>
      </c>
      <c r="BJ5" t="s">
        <v>1360</v>
      </c>
      <c r="BK5" t="s">
        <v>1360</v>
      </c>
      <c r="BL5" t="s">
        <v>1360</v>
      </c>
      <c r="BM5" t="s">
        <v>1360</v>
      </c>
      <c r="BN5" t="s">
        <v>1360</v>
      </c>
      <c r="BO5" t="s">
        <v>1360</v>
      </c>
      <c r="BP5" t="s">
        <v>1360</v>
      </c>
      <c r="BQ5" t="s">
        <v>1527</v>
      </c>
      <c r="BR5" t="s">
        <v>1564</v>
      </c>
      <c r="BS5" t="s">
        <v>1360</v>
      </c>
      <c r="BT5" t="s">
        <v>1360</v>
      </c>
      <c r="BU5" t="s">
        <v>1360</v>
      </c>
      <c r="BV5" t="s">
        <v>1360</v>
      </c>
      <c r="BW5" t="s">
        <v>1360</v>
      </c>
      <c r="BX5" t="s">
        <v>1360</v>
      </c>
      <c r="BY5" t="s">
        <v>1360</v>
      </c>
      <c r="BZ5" t="s">
        <v>1360</v>
      </c>
      <c r="CA5" t="s">
        <v>1360</v>
      </c>
      <c r="CB5" t="s">
        <v>1360</v>
      </c>
      <c r="CC5" t="s">
        <v>1565</v>
      </c>
      <c r="CD5" t="s">
        <v>1360</v>
      </c>
      <c r="CE5" t="s">
        <v>1360</v>
      </c>
      <c r="CF5" t="s">
        <v>1360</v>
      </c>
      <c r="CG5" t="s">
        <v>1360</v>
      </c>
      <c r="CH5" t="s">
        <v>1517</v>
      </c>
      <c r="CI5" t="s">
        <v>1360</v>
      </c>
      <c r="CJ5" t="s">
        <v>1360</v>
      </c>
      <c r="CK5" t="s">
        <v>1360</v>
      </c>
      <c r="CL5" t="s">
        <v>1360</v>
      </c>
      <c r="CM5" t="s">
        <v>1360</v>
      </c>
      <c r="CN5" t="s">
        <v>1360</v>
      </c>
      <c r="CO5" t="s">
        <v>1360</v>
      </c>
      <c r="CP5" t="s">
        <v>1360</v>
      </c>
      <c r="CR5">
        <v>0</v>
      </c>
      <c r="CS5" t="s">
        <v>1360</v>
      </c>
      <c r="CU5" t="s">
        <v>1360</v>
      </c>
      <c r="CV5" t="s">
        <v>1360</v>
      </c>
      <c r="CW5" t="s">
        <v>1360</v>
      </c>
      <c r="CX5" t="s">
        <v>1360</v>
      </c>
      <c r="CY5" t="s">
        <v>1360</v>
      </c>
      <c r="CZ5" t="s">
        <v>1360</v>
      </c>
      <c r="DA5" t="s">
        <v>1360</v>
      </c>
      <c r="DB5" t="s">
        <v>1360</v>
      </c>
      <c r="DC5" t="s">
        <v>1360</v>
      </c>
      <c r="DD5" t="s">
        <v>1360</v>
      </c>
      <c r="DE5" t="s">
        <v>1360</v>
      </c>
      <c r="DG5" t="s">
        <v>1517</v>
      </c>
      <c r="DH5" t="s">
        <v>1360</v>
      </c>
      <c r="DJ5" t="s">
        <v>1360</v>
      </c>
      <c r="DK5" t="s">
        <v>1517</v>
      </c>
      <c r="DL5" t="s">
        <v>1360</v>
      </c>
      <c r="DM5" t="s">
        <v>1360</v>
      </c>
      <c r="DN5" t="s">
        <v>1360</v>
      </c>
      <c r="DO5" t="s">
        <v>1360</v>
      </c>
      <c r="DP5" t="s">
        <v>1360</v>
      </c>
      <c r="DQ5" t="s">
        <v>1360</v>
      </c>
      <c r="DR5">
        <v>0</v>
      </c>
      <c r="DS5" t="s">
        <v>1360</v>
      </c>
      <c r="DT5" t="s">
        <v>1360</v>
      </c>
      <c r="DU5" t="s">
        <v>1360</v>
      </c>
      <c r="DV5" t="s">
        <v>1360</v>
      </c>
      <c r="DW5" t="s">
        <v>1360</v>
      </c>
      <c r="DX5" t="s">
        <v>1360</v>
      </c>
      <c r="DY5" t="s">
        <v>1360</v>
      </c>
      <c r="DZ5" t="s">
        <v>1360</v>
      </c>
      <c r="EA5" t="s">
        <v>1360</v>
      </c>
      <c r="EB5" t="s">
        <v>1360</v>
      </c>
      <c r="EC5" t="s">
        <v>1360</v>
      </c>
      <c r="ED5" t="s">
        <v>1360</v>
      </c>
      <c r="EE5" t="s">
        <v>1360</v>
      </c>
      <c r="EF5">
        <v>0</v>
      </c>
      <c r="EG5" t="s">
        <v>1360</v>
      </c>
      <c r="EH5" t="s">
        <v>1360</v>
      </c>
    </row>
    <row r="6" spans="1:138" hidden="1">
      <c r="A6" t="s">
        <v>1566</v>
      </c>
      <c r="B6" t="s">
        <v>1508</v>
      </c>
      <c r="C6" t="s">
        <v>1567</v>
      </c>
      <c r="D6" t="s">
        <v>1568</v>
      </c>
      <c r="E6" t="s">
        <v>1360</v>
      </c>
      <c r="F6" t="s">
        <v>1360</v>
      </c>
      <c r="G6" t="s">
        <v>1516</v>
      </c>
      <c r="H6" t="s">
        <v>1569</v>
      </c>
      <c r="I6" t="s">
        <v>1360</v>
      </c>
      <c r="J6" t="s">
        <v>1360</v>
      </c>
      <c r="K6" t="s">
        <v>1570</v>
      </c>
      <c r="L6" t="s">
        <v>32</v>
      </c>
      <c r="M6" t="s">
        <v>1571</v>
      </c>
      <c r="N6" t="s">
        <v>1572</v>
      </c>
      <c r="O6" t="s">
        <v>1573</v>
      </c>
      <c r="P6" t="s">
        <v>1574</v>
      </c>
      <c r="Q6" t="s">
        <v>1575</v>
      </c>
      <c r="R6" t="s">
        <v>1516</v>
      </c>
      <c r="S6" t="s">
        <v>1360</v>
      </c>
      <c r="T6" t="s">
        <v>1360</v>
      </c>
      <c r="U6" t="s">
        <v>1517</v>
      </c>
      <c r="V6" t="s">
        <v>1517</v>
      </c>
      <c r="W6" t="s">
        <v>1360</v>
      </c>
      <c r="X6" t="s">
        <v>1360</v>
      </c>
      <c r="Y6" t="s">
        <v>1517</v>
      </c>
      <c r="Z6" t="s">
        <v>1360</v>
      </c>
      <c r="AA6" t="s">
        <v>1360</v>
      </c>
      <c r="AB6" t="s">
        <v>1518</v>
      </c>
      <c r="AC6">
        <v>42852</v>
      </c>
      <c r="AD6" t="s">
        <v>1519</v>
      </c>
      <c r="AE6" t="s">
        <v>1360</v>
      </c>
      <c r="AF6" t="s">
        <v>1576</v>
      </c>
      <c r="AG6" t="s">
        <v>1521</v>
      </c>
      <c r="AH6" t="s">
        <v>1566</v>
      </c>
      <c r="AI6" t="s">
        <v>1360</v>
      </c>
      <c r="AJ6" t="s">
        <v>1360</v>
      </c>
      <c r="AK6" t="s">
        <v>1360</v>
      </c>
      <c r="AL6" t="s">
        <v>1360</v>
      </c>
      <c r="AM6" t="s">
        <v>1522</v>
      </c>
      <c r="AN6" t="s">
        <v>1577</v>
      </c>
      <c r="AO6" t="e">
        <f>_xlfn.XLOOKUP(AN6,#REF!,#REF!)</f>
        <v>#REF!</v>
      </c>
      <c r="AP6" t="s">
        <v>1360</v>
      </c>
      <c r="AQ6" t="s">
        <v>1360</v>
      </c>
      <c r="AR6" t="s">
        <v>1360</v>
      </c>
      <c r="AS6" t="s">
        <v>1578</v>
      </c>
      <c r="AT6" t="s">
        <v>1360</v>
      </c>
      <c r="AU6" t="s">
        <v>1578</v>
      </c>
      <c r="AV6" t="s">
        <v>1360</v>
      </c>
      <c r="AW6" t="s">
        <v>1360</v>
      </c>
      <c r="AX6" t="s">
        <v>1360</v>
      </c>
      <c r="AY6" t="s">
        <v>1360</v>
      </c>
      <c r="AZ6" t="s">
        <v>58</v>
      </c>
      <c r="BA6" t="s">
        <v>1360</v>
      </c>
      <c r="BB6" t="s">
        <v>1360</v>
      </c>
      <c r="BC6" t="s">
        <v>1360</v>
      </c>
      <c r="BD6" t="s">
        <v>1360</v>
      </c>
      <c r="BE6" t="s">
        <v>1360</v>
      </c>
      <c r="BG6" t="s">
        <v>1360</v>
      </c>
      <c r="BH6" t="s">
        <v>1360</v>
      </c>
      <c r="BJ6" t="s">
        <v>1360</v>
      </c>
      <c r="BK6" t="s">
        <v>1360</v>
      </c>
      <c r="BL6" t="s">
        <v>1360</v>
      </c>
      <c r="BM6" t="s">
        <v>1360</v>
      </c>
      <c r="BN6" t="s">
        <v>1360</v>
      </c>
      <c r="BO6" t="s">
        <v>1360</v>
      </c>
      <c r="BP6" t="s">
        <v>1360</v>
      </c>
      <c r="BQ6" t="s">
        <v>1527</v>
      </c>
      <c r="BR6" t="s">
        <v>1528</v>
      </c>
      <c r="BS6" t="s">
        <v>1360</v>
      </c>
      <c r="BT6" t="s">
        <v>1360</v>
      </c>
      <c r="BU6" t="s">
        <v>1360</v>
      </c>
      <c r="BV6" t="s">
        <v>1360</v>
      </c>
      <c r="BW6" t="s">
        <v>1360</v>
      </c>
      <c r="BX6" t="s">
        <v>1360</v>
      </c>
      <c r="BY6" t="s">
        <v>1360</v>
      </c>
      <c r="BZ6" t="s">
        <v>1360</v>
      </c>
      <c r="CA6" t="s">
        <v>1360</v>
      </c>
      <c r="CB6" t="s">
        <v>1360</v>
      </c>
      <c r="CC6" t="s">
        <v>1579</v>
      </c>
      <c r="CD6" t="s">
        <v>1360</v>
      </c>
      <c r="CE6" t="s">
        <v>1360</v>
      </c>
      <c r="CF6" t="s">
        <v>1360</v>
      </c>
      <c r="CG6" t="s">
        <v>1360</v>
      </c>
      <c r="CH6" t="s">
        <v>1517</v>
      </c>
      <c r="CI6" t="s">
        <v>1360</v>
      </c>
      <c r="CJ6" t="s">
        <v>1360</v>
      </c>
      <c r="CK6" t="s">
        <v>1360</v>
      </c>
      <c r="CL6" t="s">
        <v>1360</v>
      </c>
      <c r="CM6" t="s">
        <v>1360</v>
      </c>
      <c r="CN6" t="s">
        <v>1360</v>
      </c>
      <c r="CO6" t="s">
        <v>1360</v>
      </c>
      <c r="CP6" t="s">
        <v>1360</v>
      </c>
      <c r="CR6">
        <v>0</v>
      </c>
      <c r="CS6" t="s">
        <v>1360</v>
      </c>
      <c r="CU6" t="s">
        <v>1360</v>
      </c>
      <c r="CV6" t="s">
        <v>1360</v>
      </c>
      <c r="CW6" t="s">
        <v>1360</v>
      </c>
      <c r="CX6" t="s">
        <v>1360</v>
      </c>
      <c r="CY6" t="s">
        <v>1360</v>
      </c>
      <c r="CZ6" t="s">
        <v>1360</v>
      </c>
      <c r="DA6" t="s">
        <v>1360</v>
      </c>
      <c r="DB6" t="s">
        <v>1360</v>
      </c>
      <c r="DC6" t="s">
        <v>1360</v>
      </c>
      <c r="DD6" t="s">
        <v>1360</v>
      </c>
      <c r="DE6" t="s">
        <v>1360</v>
      </c>
      <c r="DG6" t="s">
        <v>1517</v>
      </c>
      <c r="DH6" t="s">
        <v>1360</v>
      </c>
      <c r="DJ6" t="s">
        <v>1360</v>
      </c>
      <c r="DK6" t="s">
        <v>1517</v>
      </c>
      <c r="DL6" t="s">
        <v>1360</v>
      </c>
      <c r="DM6" t="s">
        <v>1360</v>
      </c>
      <c r="DN6" t="s">
        <v>1360</v>
      </c>
      <c r="DO6" t="s">
        <v>1360</v>
      </c>
      <c r="DP6" t="s">
        <v>1360</v>
      </c>
      <c r="DQ6" t="s">
        <v>1360</v>
      </c>
      <c r="DR6">
        <v>0</v>
      </c>
      <c r="DS6" t="s">
        <v>1360</v>
      </c>
      <c r="DT6" t="s">
        <v>1360</v>
      </c>
      <c r="DU6" t="s">
        <v>1360</v>
      </c>
      <c r="DV6" t="s">
        <v>1360</v>
      </c>
      <c r="DW6" t="s">
        <v>1360</v>
      </c>
      <c r="DX6" t="s">
        <v>1360</v>
      </c>
      <c r="DY6" t="s">
        <v>1360</v>
      </c>
      <c r="DZ6" t="s">
        <v>1360</v>
      </c>
      <c r="EA6" t="s">
        <v>1360</v>
      </c>
      <c r="EB6" t="s">
        <v>1360</v>
      </c>
      <c r="EC6" t="s">
        <v>1360</v>
      </c>
      <c r="ED6" t="s">
        <v>1360</v>
      </c>
      <c r="EE6" t="s">
        <v>1360</v>
      </c>
      <c r="EF6">
        <v>0</v>
      </c>
      <c r="EG6" t="s">
        <v>1360</v>
      </c>
      <c r="EH6" t="s">
        <v>1360</v>
      </c>
    </row>
    <row r="7" spans="1:138" hidden="1">
      <c r="A7" t="s">
        <v>1580</v>
      </c>
      <c r="B7" t="s">
        <v>1508</v>
      </c>
      <c r="C7" t="s">
        <v>1581</v>
      </c>
      <c r="D7" t="s">
        <v>1360</v>
      </c>
      <c r="E7" t="s">
        <v>1360</v>
      </c>
      <c r="F7" t="s">
        <v>1360</v>
      </c>
      <c r="G7" t="s">
        <v>68</v>
      </c>
      <c r="H7" t="s">
        <v>1360</v>
      </c>
      <c r="I7" t="s">
        <v>1360</v>
      </c>
      <c r="J7" t="s">
        <v>1360</v>
      </c>
      <c r="K7" t="s">
        <v>1582</v>
      </c>
      <c r="L7" t="s">
        <v>69</v>
      </c>
      <c r="M7" t="s">
        <v>1583</v>
      </c>
      <c r="N7" t="s">
        <v>1584</v>
      </c>
      <c r="O7" t="s">
        <v>1585</v>
      </c>
      <c r="P7" t="s">
        <v>1586</v>
      </c>
      <c r="Q7" t="s">
        <v>1360</v>
      </c>
      <c r="R7" t="s">
        <v>1587</v>
      </c>
      <c r="S7" t="s">
        <v>1360</v>
      </c>
      <c r="T7" t="s">
        <v>1360</v>
      </c>
      <c r="U7" t="s">
        <v>1517</v>
      </c>
      <c r="V7" t="s">
        <v>1517</v>
      </c>
      <c r="W7" t="s">
        <v>1360</v>
      </c>
      <c r="X7" t="s">
        <v>1360</v>
      </c>
      <c r="Y7" t="s">
        <v>1517</v>
      </c>
      <c r="Z7" t="s">
        <v>1360</v>
      </c>
      <c r="AA7" t="s">
        <v>1360</v>
      </c>
      <c r="AB7" t="s">
        <v>1360</v>
      </c>
      <c r="AC7">
        <v>43754</v>
      </c>
      <c r="AD7" t="s">
        <v>1539</v>
      </c>
      <c r="AE7" t="s">
        <v>1360</v>
      </c>
      <c r="AF7" t="s">
        <v>1588</v>
      </c>
      <c r="AG7" t="s">
        <v>1521</v>
      </c>
      <c r="AH7" t="s">
        <v>1580</v>
      </c>
      <c r="AI7" t="s">
        <v>1360</v>
      </c>
      <c r="AJ7" t="s">
        <v>1527</v>
      </c>
      <c r="AK7" t="s">
        <v>1527</v>
      </c>
      <c r="AL7" t="s">
        <v>1527</v>
      </c>
      <c r="AM7" t="s">
        <v>1522</v>
      </c>
      <c r="AN7" t="s">
        <v>1360</v>
      </c>
      <c r="AO7" t="e">
        <f>_xlfn.XLOOKUP(AN7,#REF!,#REF!)</f>
        <v>#REF!</v>
      </c>
      <c r="AP7" t="s">
        <v>1360</v>
      </c>
      <c r="AQ7" t="s">
        <v>1360</v>
      </c>
      <c r="AR7" t="s">
        <v>1360</v>
      </c>
      <c r="AS7" t="s">
        <v>1360</v>
      </c>
      <c r="AT7" t="s">
        <v>1360</v>
      </c>
      <c r="AU7" t="s">
        <v>1360</v>
      </c>
      <c r="AV7" t="s">
        <v>1360</v>
      </c>
      <c r="AW7" t="s">
        <v>1360</v>
      </c>
      <c r="AX7" t="s">
        <v>1360</v>
      </c>
      <c r="AY7" t="s">
        <v>1360</v>
      </c>
      <c r="AZ7" t="s">
        <v>1589</v>
      </c>
      <c r="BA7" t="s">
        <v>1360</v>
      </c>
      <c r="BB7" t="s">
        <v>1360</v>
      </c>
      <c r="BC7" t="s">
        <v>1360</v>
      </c>
      <c r="BD7" t="s">
        <v>1360</v>
      </c>
      <c r="BE7" t="s">
        <v>1360</v>
      </c>
      <c r="BG7" t="s">
        <v>1360</v>
      </c>
      <c r="BH7" t="s">
        <v>1360</v>
      </c>
      <c r="BJ7" t="s">
        <v>1360</v>
      </c>
      <c r="BK7" t="s">
        <v>1360</v>
      </c>
      <c r="BL7" t="s">
        <v>1360</v>
      </c>
      <c r="BM7" t="s">
        <v>1360</v>
      </c>
      <c r="BN7" t="s">
        <v>1360</v>
      </c>
      <c r="BO7" t="s">
        <v>1360</v>
      </c>
      <c r="BP7" t="s">
        <v>1360</v>
      </c>
      <c r="BQ7" t="s">
        <v>1527</v>
      </c>
      <c r="BR7" t="s">
        <v>1590</v>
      </c>
      <c r="BS7" t="s">
        <v>1360</v>
      </c>
      <c r="BT7" t="s">
        <v>1360</v>
      </c>
      <c r="BU7" t="s">
        <v>1360</v>
      </c>
      <c r="BV7" t="s">
        <v>1360</v>
      </c>
      <c r="BW7" t="s">
        <v>1360</v>
      </c>
      <c r="BX7" t="s">
        <v>1360</v>
      </c>
      <c r="BY7" t="s">
        <v>1360</v>
      </c>
      <c r="BZ7" t="s">
        <v>1360</v>
      </c>
      <c r="CA7" t="s">
        <v>1360</v>
      </c>
      <c r="CB7" t="s">
        <v>1360</v>
      </c>
      <c r="CC7" t="s">
        <v>1360</v>
      </c>
      <c r="CD7" t="s">
        <v>1360</v>
      </c>
      <c r="CE7" t="s">
        <v>1360</v>
      </c>
      <c r="CF7" t="s">
        <v>1360</v>
      </c>
      <c r="CG7" t="s">
        <v>1360</v>
      </c>
      <c r="CH7" t="s">
        <v>1517</v>
      </c>
      <c r="CI7" t="s">
        <v>1360</v>
      </c>
      <c r="CJ7" t="s">
        <v>1360</v>
      </c>
      <c r="CK7" t="s">
        <v>1360</v>
      </c>
      <c r="CL7" t="s">
        <v>1360</v>
      </c>
      <c r="CM7" t="s">
        <v>1360</v>
      </c>
      <c r="CN7" t="s">
        <v>1360</v>
      </c>
      <c r="CO7" t="s">
        <v>1360</v>
      </c>
      <c r="CP7" t="s">
        <v>1360</v>
      </c>
      <c r="CR7">
        <v>0</v>
      </c>
      <c r="CS7" t="s">
        <v>1360</v>
      </c>
      <c r="CU7" t="s">
        <v>1360</v>
      </c>
      <c r="CV7" t="s">
        <v>1360</v>
      </c>
      <c r="CW7" t="s">
        <v>1360</v>
      </c>
      <c r="CX7" t="s">
        <v>1360</v>
      </c>
      <c r="CY7" t="s">
        <v>1360</v>
      </c>
      <c r="CZ7" t="s">
        <v>1360</v>
      </c>
      <c r="DA7" t="s">
        <v>1360</v>
      </c>
      <c r="DB7" t="s">
        <v>1360</v>
      </c>
      <c r="DC7" t="s">
        <v>1360</v>
      </c>
      <c r="DD7" t="s">
        <v>1360</v>
      </c>
      <c r="DE7" t="s">
        <v>1360</v>
      </c>
      <c r="DG7" t="s">
        <v>1517</v>
      </c>
      <c r="DH7" t="s">
        <v>1360</v>
      </c>
      <c r="DJ7" t="s">
        <v>1360</v>
      </c>
      <c r="DK7" t="s">
        <v>1517</v>
      </c>
      <c r="DL7" t="s">
        <v>1360</v>
      </c>
      <c r="DM7" t="s">
        <v>1360</v>
      </c>
      <c r="DN7" t="s">
        <v>1360</v>
      </c>
      <c r="DO7" t="s">
        <v>1360</v>
      </c>
      <c r="DP7" t="s">
        <v>1360</v>
      </c>
      <c r="DQ7" t="s">
        <v>1360</v>
      </c>
      <c r="DR7">
        <v>0</v>
      </c>
      <c r="DS7" t="s">
        <v>1360</v>
      </c>
      <c r="DT7" t="s">
        <v>1360</v>
      </c>
      <c r="DU7" t="s">
        <v>1360</v>
      </c>
      <c r="DV7" t="s">
        <v>1360</v>
      </c>
      <c r="DW7" t="s">
        <v>1360</v>
      </c>
      <c r="DX7" t="s">
        <v>1360</v>
      </c>
      <c r="DY7" t="s">
        <v>1360</v>
      </c>
      <c r="DZ7" t="s">
        <v>1360</v>
      </c>
      <c r="EA7" t="s">
        <v>1360</v>
      </c>
      <c r="EB7" t="s">
        <v>1360</v>
      </c>
      <c r="EC7" t="s">
        <v>1360</v>
      </c>
      <c r="ED7" t="s">
        <v>1360</v>
      </c>
      <c r="EE7" t="s">
        <v>1360</v>
      </c>
      <c r="EF7">
        <v>0</v>
      </c>
      <c r="EG7" t="s">
        <v>1360</v>
      </c>
      <c r="EH7" t="s">
        <v>1360</v>
      </c>
    </row>
    <row r="8" spans="1:138" hidden="1">
      <c r="A8" t="s">
        <v>1591</v>
      </c>
      <c r="B8" t="s">
        <v>1508</v>
      </c>
      <c r="C8" t="s">
        <v>1592</v>
      </c>
      <c r="D8" t="s">
        <v>1360</v>
      </c>
      <c r="E8" t="s">
        <v>1360</v>
      </c>
      <c r="F8" t="s">
        <v>1360</v>
      </c>
      <c r="G8" t="s">
        <v>1593</v>
      </c>
      <c r="H8" t="s">
        <v>1594</v>
      </c>
      <c r="I8" t="s">
        <v>1360</v>
      </c>
      <c r="J8" t="s">
        <v>1360</v>
      </c>
      <c r="K8" t="s">
        <v>1595</v>
      </c>
      <c r="L8" t="s">
        <v>69</v>
      </c>
      <c r="M8" t="s">
        <v>1596</v>
      </c>
      <c r="N8" t="s">
        <v>1597</v>
      </c>
      <c r="O8" t="s">
        <v>1598</v>
      </c>
      <c r="P8" t="s">
        <v>1592</v>
      </c>
      <c r="Q8" t="s">
        <v>1360</v>
      </c>
      <c r="R8" t="s">
        <v>1593</v>
      </c>
      <c r="S8" t="s">
        <v>1360</v>
      </c>
      <c r="T8" t="s">
        <v>1360</v>
      </c>
      <c r="U8" t="s">
        <v>1517</v>
      </c>
      <c r="V8" t="s">
        <v>1517</v>
      </c>
      <c r="W8" t="s">
        <v>1360</v>
      </c>
      <c r="X8" t="s">
        <v>1599</v>
      </c>
      <c r="Y8" t="s">
        <v>1517</v>
      </c>
      <c r="Z8" t="s">
        <v>1360</v>
      </c>
      <c r="AA8" t="s">
        <v>1360</v>
      </c>
      <c r="AB8" t="s">
        <v>1360</v>
      </c>
      <c r="AC8">
        <v>42846</v>
      </c>
      <c r="AD8" t="s">
        <v>1600</v>
      </c>
      <c r="AE8" t="s">
        <v>1360</v>
      </c>
      <c r="AF8" t="s">
        <v>1360</v>
      </c>
      <c r="AG8" t="s">
        <v>1601</v>
      </c>
      <c r="AH8" t="s">
        <v>1360</v>
      </c>
      <c r="AI8" t="s">
        <v>1360</v>
      </c>
      <c r="AJ8" t="s">
        <v>1360</v>
      </c>
      <c r="AK8" t="s">
        <v>1360</v>
      </c>
      <c r="AL8" t="s">
        <v>1360</v>
      </c>
      <c r="AM8" t="s">
        <v>1602</v>
      </c>
      <c r="AN8" t="s">
        <v>1603</v>
      </c>
      <c r="AO8" t="e">
        <f>_xlfn.XLOOKUP(AN8,#REF!,#REF!)</f>
        <v>#REF!</v>
      </c>
      <c r="AP8" t="s">
        <v>1360</v>
      </c>
      <c r="AQ8" t="s">
        <v>1360</v>
      </c>
      <c r="AR8" t="s">
        <v>1360</v>
      </c>
      <c r="AS8" t="s">
        <v>1604</v>
      </c>
      <c r="AT8" t="s">
        <v>1360</v>
      </c>
      <c r="AU8" t="s">
        <v>1360</v>
      </c>
      <c r="AV8" t="s">
        <v>1360</v>
      </c>
      <c r="AW8" t="s">
        <v>1360</v>
      </c>
      <c r="AX8" t="s">
        <v>1360</v>
      </c>
      <c r="AY8" t="s">
        <v>1360</v>
      </c>
      <c r="AZ8" t="s">
        <v>1360</v>
      </c>
      <c r="BA8" t="s">
        <v>1360</v>
      </c>
      <c r="BB8" t="s">
        <v>1360</v>
      </c>
      <c r="BC8" t="s">
        <v>1360</v>
      </c>
      <c r="BD8" t="s">
        <v>1360</v>
      </c>
      <c r="BE8" t="s">
        <v>1360</v>
      </c>
      <c r="BG8" t="s">
        <v>1360</v>
      </c>
      <c r="BH8" t="s">
        <v>1360</v>
      </c>
      <c r="BJ8" t="s">
        <v>1360</v>
      </c>
      <c r="BK8" t="s">
        <v>1360</v>
      </c>
      <c r="BL8" t="s">
        <v>1360</v>
      </c>
      <c r="BM8" t="s">
        <v>1605</v>
      </c>
      <c r="BN8" t="s">
        <v>1360</v>
      </c>
      <c r="BO8" t="s">
        <v>1360</v>
      </c>
      <c r="BP8" t="s">
        <v>1360</v>
      </c>
      <c r="BQ8" t="s">
        <v>1527</v>
      </c>
      <c r="BR8" t="s">
        <v>1590</v>
      </c>
      <c r="BS8" t="s">
        <v>1360</v>
      </c>
      <c r="BT8" t="s">
        <v>1360</v>
      </c>
      <c r="BU8" t="s">
        <v>1360</v>
      </c>
      <c r="BV8" t="s">
        <v>1360</v>
      </c>
      <c r="BW8" t="s">
        <v>1360</v>
      </c>
      <c r="BX8" t="s">
        <v>1360</v>
      </c>
      <c r="BY8" t="s">
        <v>1360</v>
      </c>
      <c r="BZ8" t="s">
        <v>1360</v>
      </c>
      <c r="CA8" t="s">
        <v>1360</v>
      </c>
      <c r="CB8" t="s">
        <v>1360</v>
      </c>
      <c r="CC8" t="s">
        <v>1606</v>
      </c>
      <c r="CD8" t="s">
        <v>1360</v>
      </c>
      <c r="CE8" t="s">
        <v>1360</v>
      </c>
      <c r="CF8" t="s">
        <v>1360</v>
      </c>
      <c r="CG8" t="s">
        <v>1360</v>
      </c>
      <c r="CH8" t="s">
        <v>1517</v>
      </c>
      <c r="CI8" t="s">
        <v>1360</v>
      </c>
      <c r="CJ8" t="s">
        <v>1360</v>
      </c>
      <c r="CK8" t="s">
        <v>1360</v>
      </c>
      <c r="CL8" t="s">
        <v>1360</v>
      </c>
      <c r="CM8" t="s">
        <v>1360</v>
      </c>
      <c r="CN8" t="s">
        <v>1360</v>
      </c>
      <c r="CO8" t="s">
        <v>1360</v>
      </c>
      <c r="CP8" t="s">
        <v>1360</v>
      </c>
      <c r="CR8">
        <v>0</v>
      </c>
      <c r="CS8" t="s">
        <v>1360</v>
      </c>
      <c r="CU8" t="s">
        <v>1360</v>
      </c>
      <c r="CV8" t="s">
        <v>1360</v>
      </c>
      <c r="CW8" t="s">
        <v>1360</v>
      </c>
      <c r="CX8" t="s">
        <v>1360</v>
      </c>
      <c r="CY8" t="s">
        <v>1360</v>
      </c>
      <c r="CZ8" t="s">
        <v>1360</v>
      </c>
      <c r="DA8" t="s">
        <v>1360</v>
      </c>
      <c r="DB8" t="s">
        <v>1360</v>
      </c>
      <c r="DC8" t="s">
        <v>1360</v>
      </c>
      <c r="DD8" t="s">
        <v>1360</v>
      </c>
      <c r="DE8" t="s">
        <v>1360</v>
      </c>
      <c r="DG8" t="s">
        <v>1517</v>
      </c>
      <c r="DH8" t="s">
        <v>1360</v>
      </c>
      <c r="DJ8" t="s">
        <v>1360</v>
      </c>
      <c r="DK8" t="s">
        <v>1517</v>
      </c>
      <c r="DL8" t="s">
        <v>1360</v>
      </c>
      <c r="DM8" t="s">
        <v>1360</v>
      </c>
      <c r="DN8" t="s">
        <v>1360</v>
      </c>
      <c r="DO8" t="s">
        <v>1360</v>
      </c>
      <c r="DP8" t="s">
        <v>1360</v>
      </c>
      <c r="DQ8" t="s">
        <v>1360</v>
      </c>
      <c r="DR8">
        <v>0</v>
      </c>
      <c r="DS8" t="s">
        <v>1360</v>
      </c>
      <c r="DT8" t="s">
        <v>1360</v>
      </c>
      <c r="DU8" t="s">
        <v>1360</v>
      </c>
      <c r="DV8" t="s">
        <v>1360</v>
      </c>
      <c r="DW8" t="s">
        <v>1360</v>
      </c>
      <c r="DX8" t="s">
        <v>1360</v>
      </c>
      <c r="DY8" t="s">
        <v>1360</v>
      </c>
      <c r="DZ8" t="s">
        <v>1360</v>
      </c>
      <c r="EA8" t="s">
        <v>1360</v>
      </c>
      <c r="EB8" t="s">
        <v>1360</v>
      </c>
      <c r="EC8" t="s">
        <v>1360</v>
      </c>
      <c r="ED8" t="s">
        <v>1360</v>
      </c>
      <c r="EE8" t="s">
        <v>1360</v>
      </c>
      <c r="EF8">
        <v>0</v>
      </c>
      <c r="EG8" t="s">
        <v>1360</v>
      </c>
      <c r="EH8" t="s">
        <v>1360</v>
      </c>
    </row>
    <row r="9" spans="1:138">
      <c r="A9" t="s">
        <v>1607</v>
      </c>
      <c r="B9" t="s">
        <v>1508</v>
      </c>
      <c r="C9" t="s">
        <v>1592</v>
      </c>
      <c r="D9" t="s">
        <v>1608</v>
      </c>
      <c r="E9" t="s">
        <v>1360</v>
      </c>
      <c r="F9" t="s">
        <v>1360</v>
      </c>
      <c r="G9" t="s">
        <v>1516</v>
      </c>
      <c r="H9" t="s">
        <v>30</v>
      </c>
      <c r="I9" t="s">
        <v>1360</v>
      </c>
      <c r="J9" t="s">
        <v>1360</v>
      </c>
      <c r="K9" t="s">
        <v>1511</v>
      </c>
      <c r="L9" t="s">
        <v>32</v>
      </c>
      <c r="M9" t="s">
        <v>1609</v>
      </c>
      <c r="N9" t="s">
        <v>1610</v>
      </c>
      <c r="O9" t="s">
        <v>1611</v>
      </c>
      <c r="P9" t="s">
        <v>1592</v>
      </c>
      <c r="Q9" t="s">
        <v>1609</v>
      </c>
      <c r="R9" t="s">
        <v>1516</v>
      </c>
      <c r="S9" t="s">
        <v>1360</v>
      </c>
      <c r="T9" t="s">
        <v>1360</v>
      </c>
      <c r="U9" t="s">
        <v>1517</v>
      </c>
      <c r="V9" t="s">
        <v>1517</v>
      </c>
      <c r="W9" t="s">
        <v>1360</v>
      </c>
      <c r="X9" t="s">
        <v>1599</v>
      </c>
      <c r="Y9" t="s">
        <v>1517</v>
      </c>
      <c r="Z9" t="s">
        <v>1360</v>
      </c>
      <c r="AA9" t="s">
        <v>1360</v>
      </c>
      <c r="AB9" t="s">
        <v>1360</v>
      </c>
      <c r="AC9">
        <v>42848</v>
      </c>
      <c r="AD9" t="s">
        <v>1519</v>
      </c>
      <c r="AE9" t="s">
        <v>1360</v>
      </c>
      <c r="AF9" t="s">
        <v>1360</v>
      </c>
      <c r="AG9" t="s">
        <v>1601</v>
      </c>
      <c r="AH9" t="s">
        <v>1360</v>
      </c>
      <c r="AI9" t="s">
        <v>1360</v>
      </c>
      <c r="AJ9" t="s">
        <v>1360</v>
      </c>
      <c r="AK9" t="s">
        <v>1360</v>
      </c>
      <c r="AL9" t="s">
        <v>1360</v>
      </c>
      <c r="AM9" t="s">
        <v>1602</v>
      </c>
      <c r="AN9" t="s">
        <v>1612</v>
      </c>
      <c r="AO9" t="e">
        <f>_xlfn.XLOOKUP(AN9,#REF!,#REF!)</f>
        <v>#REF!</v>
      </c>
      <c r="AP9" t="s">
        <v>1360</v>
      </c>
      <c r="AQ9" t="s">
        <v>1360</v>
      </c>
      <c r="AR9" t="s">
        <v>1360</v>
      </c>
      <c r="AS9" t="s">
        <v>1604</v>
      </c>
      <c r="AT9" t="s">
        <v>1360</v>
      </c>
      <c r="AU9" t="s">
        <v>1360</v>
      </c>
      <c r="AV9" t="s">
        <v>1360</v>
      </c>
      <c r="AW9" t="s">
        <v>1360</v>
      </c>
      <c r="AX9" t="s">
        <v>1360</v>
      </c>
      <c r="AY9" t="s">
        <v>1360</v>
      </c>
      <c r="AZ9" t="s">
        <v>1360</v>
      </c>
      <c r="BA9" t="s">
        <v>1360</v>
      </c>
      <c r="BB9" t="s">
        <v>1360</v>
      </c>
      <c r="BC9" t="s">
        <v>1360</v>
      </c>
      <c r="BD9" t="s">
        <v>1360</v>
      </c>
      <c r="BE9" t="s">
        <v>1360</v>
      </c>
      <c r="BG9" t="s">
        <v>1360</v>
      </c>
      <c r="BH9" t="s">
        <v>1360</v>
      </c>
      <c r="BJ9" t="s">
        <v>1360</v>
      </c>
      <c r="BK9" t="s">
        <v>1360</v>
      </c>
      <c r="BL9" t="s">
        <v>1360</v>
      </c>
      <c r="BM9" t="s">
        <v>1613</v>
      </c>
      <c r="BN9" t="s">
        <v>1360</v>
      </c>
      <c r="BO9" t="s">
        <v>1360</v>
      </c>
      <c r="BP9" t="s">
        <v>1360</v>
      </c>
      <c r="BQ9" t="s">
        <v>1527</v>
      </c>
      <c r="BR9" t="s">
        <v>1528</v>
      </c>
      <c r="BS9" t="s">
        <v>1360</v>
      </c>
      <c r="BT9" t="s">
        <v>1360</v>
      </c>
      <c r="BU9" t="s">
        <v>1360</v>
      </c>
      <c r="BV9" t="s">
        <v>1360</v>
      </c>
      <c r="BW9" t="s">
        <v>1360</v>
      </c>
      <c r="BX9" t="s">
        <v>1360</v>
      </c>
      <c r="BY9" t="s">
        <v>1360</v>
      </c>
      <c r="BZ9" t="s">
        <v>1360</v>
      </c>
      <c r="CA9" t="s">
        <v>1360</v>
      </c>
      <c r="CB9" t="s">
        <v>1360</v>
      </c>
      <c r="CC9" t="s">
        <v>1360</v>
      </c>
      <c r="CD9" t="s">
        <v>1360</v>
      </c>
      <c r="CE9" t="s">
        <v>1360</v>
      </c>
      <c r="CF9" t="s">
        <v>1360</v>
      </c>
      <c r="CG9" t="s">
        <v>1360</v>
      </c>
      <c r="CH9" t="s">
        <v>1517</v>
      </c>
      <c r="CI9" t="s">
        <v>1360</v>
      </c>
      <c r="CJ9" t="s">
        <v>1360</v>
      </c>
      <c r="CK9" t="s">
        <v>1360</v>
      </c>
      <c r="CL9" t="s">
        <v>1360</v>
      </c>
      <c r="CM9" t="s">
        <v>1360</v>
      </c>
      <c r="CN9" t="s">
        <v>1360</v>
      </c>
      <c r="CO9" t="s">
        <v>1360</v>
      </c>
      <c r="CP9" t="s">
        <v>1360</v>
      </c>
      <c r="CR9">
        <v>0</v>
      </c>
      <c r="CS9" t="s">
        <v>1360</v>
      </c>
      <c r="CU9" t="s">
        <v>1360</v>
      </c>
      <c r="CV9" t="s">
        <v>1360</v>
      </c>
      <c r="CW9" t="s">
        <v>1360</v>
      </c>
      <c r="CX9" t="s">
        <v>1360</v>
      </c>
      <c r="CY9" t="s">
        <v>1360</v>
      </c>
      <c r="CZ9" t="s">
        <v>1360</v>
      </c>
      <c r="DA9" t="s">
        <v>1360</v>
      </c>
      <c r="DB9" t="s">
        <v>1360</v>
      </c>
      <c r="DC9" t="s">
        <v>1360</v>
      </c>
      <c r="DD9" t="s">
        <v>1360</v>
      </c>
      <c r="DE9" t="s">
        <v>1360</v>
      </c>
      <c r="DG9" t="s">
        <v>1517</v>
      </c>
      <c r="DH9" t="s">
        <v>1360</v>
      </c>
      <c r="DJ9" t="s">
        <v>1360</v>
      </c>
      <c r="DK9" t="s">
        <v>1517</v>
      </c>
      <c r="DL9" t="s">
        <v>1360</v>
      </c>
      <c r="DM9" t="s">
        <v>1360</v>
      </c>
      <c r="DN9" t="s">
        <v>1360</v>
      </c>
      <c r="DO9" t="s">
        <v>1360</v>
      </c>
      <c r="DP9" t="s">
        <v>1360</v>
      </c>
      <c r="DQ9" t="s">
        <v>1360</v>
      </c>
      <c r="DR9">
        <v>0</v>
      </c>
      <c r="DS9" t="s">
        <v>1360</v>
      </c>
      <c r="DT9" t="s">
        <v>1360</v>
      </c>
      <c r="DU9" t="s">
        <v>1360</v>
      </c>
      <c r="DV9" t="s">
        <v>1360</v>
      </c>
      <c r="DW9" t="s">
        <v>1360</v>
      </c>
      <c r="DX9" t="s">
        <v>1360</v>
      </c>
      <c r="DY9" t="s">
        <v>1360</v>
      </c>
      <c r="DZ9" t="s">
        <v>1360</v>
      </c>
      <c r="EA9" t="s">
        <v>1360</v>
      </c>
      <c r="EB9" t="s">
        <v>1360</v>
      </c>
      <c r="EC9" t="s">
        <v>1360</v>
      </c>
      <c r="ED9" t="s">
        <v>1360</v>
      </c>
      <c r="EE9" t="s">
        <v>1360</v>
      </c>
      <c r="EF9">
        <v>0</v>
      </c>
      <c r="EG9" t="s">
        <v>1360</v>
      </c>
      <c r="EH9" t="s">
        <v>1360</v>
      </c>
    </row>
    <row r="10" spans="1:138">
      <c r="A10" t="s">
        <v>1614</v>
      </c>
      <c r="B10" t="s">
        <v>1508</v>
      </c>
      <c r="C10" t="s">
        <v>1592</v>
      </c>
      <c r="D10" t="s">
        <v>1615</v>
      </c>
      <c r="E10" t="s">
        <v>1360</v>
      </c>
      <c r="F10" t="s">
        <v>1360</v>
      </c>
      <c r="G10" t="s">
        <v>68</v>
      </c>
      <c r="H10" t="s">
        <v>1616</v>
      </c>
      <c r="I10" t="s">
        <v>1360</v>
      </c>
      <c r="J10" t="s">
        <v>1360</v>
      </c>
      <c r="K10" t="s">
        <v>1617</v>
      </c>
      <c r="L10" t="s">
        <v>69</v>
      </c>
      <c r="M10" t="s">
        <v>1618</v>
      </c>
      <c r="N10" t="s">
        <v>1619</v>
      </c>
      <c r="O10" t="s">
        <v>1620</v>
      </c>
      <c r="P10" t="s">
        <v>1592</v>
      </c>
      <c r="Q10" t="s">
        <v>1621</v>
      </c>
      <c r="R10" t="s">
        <v>1587</v>
      </c>
      <c r="S10" t="s">
        <v>1360</v>
      </c>
      <c r="T10" t="s">
        <v>1360</v>
      </c>
      <c r="U10" t="s">
        <v>1517</v>
      </c>
      <c r="V10" t="s">
        <v>1517</v>
      </c>
      <c r="W10" t="s">
        <v>1360</v>
      </c>
      <c r="X10" t="s">
        <v>1599</v>
      </c>
      <c r="Y10" t="s">
        <v>1517</v>
      </c>
      <c r="Z10" t="s">
        <v>1360</v>
      </c>
      <c r="AA10" t="s">
        <v>1360</v>
      </c>
      <c r="AB10" t="s">
        <v>1360</v>
      </c>
      <c r="AC10">
        <v>42848</v>
      </c>
      <c r="AD10" t="s">
        <v>1519</v>
      </c>
      <c r="AE10" t="s">
        <v>1360</v>
      </c>
      <c r="AF10" t="s">
        <v>1360</v>
      </c>
      <c r="AG10" t="s">
        <v>1601</v>
      </c>
      <c r="AH10" t="s">
        <v>1360</v>
      </c>
      <c r="AI10" t="s">
        <v>1360</v>
      </c>
      <c r="AJ10" t="s">
        <v>1360</v>
      </c>
      <c r="AK10" t="s">
        <v>1360</v>
      </c>
      <c r="AL10" t="s">
        <v>1360</v>
      </c>
      <c r="AM10" t="s">
        <v>1602</v>
      </c>
      <c r="AN10" t="s">
        <v>1622</v>
      </c>
      <c r="AO10" t="e">
        <f>_xlfn.XLOOKUP(AN10,#REF!,#REF!)</f>
        <v>#REF!</v>
      </c>
      <c r="AP10" t="s">
        <v>1360</v>
      </c>
      <c r="AQ10" t="s">
        <v>1360</v>
      </c>
      <c r="AR10" t="s">
        <v>1360</v>
      </c>
      <c r="AS10" t="s">
        <v>1604</v>
      </c>
      <c r="AT10" t="s">
        <v>1360</v>
      </c>
      <c r="AU10" t="s">
        <v>1360</v>
      </c>
      <c r="AV10" t="s">
        <v>1360</v>
      </c>
      <c r="AW10" t="s">
        <v>1360</v>
      </c>
      <c r="AX10" t="s">
        <v>1360</v>
      </c>
      <c r="AY10" t="s">
        <v>1360</v>
      </c>
      <c r="AZ10" t="s">
        <v>1360</v>
      </c>
      <c r="BA10" t="s">
        <v>1360</v>
      </c>
      <c r="BB10" t="s">
        <v>1360</v>
      </c>
      <c r="BC10" t="s">
        <v>1360</v>
      </c>
      <c r="BD10" t="s">
        <v>1360</v>
      </c>
      <c r="BE10" t="s">
        <v>1360</v>
      </c>
      <c r="BG10" t="s">
        <v>1360</v>
      </c>
      <c r="BH10" t="s">
        <v>1360</v>
      </c>
      <c r="BJ10" t="s">
        <v>1360</v>
      </c>
      <c r="BK10" t="s">
        <v>1360</v>
      </c>
      <c r="BL10" t="s">
        <v>1360</v>
      </c>
      <c r="BM10" t="s">
        <v>1623</v>
      </c>
      <c r="BN10" t="s">
        <v>1360</v>
      </c>
      <c r="BO10" t="s">
        <v>1360</v>
      </c>
      <c r="BP10" t="s">
        <v>1360</v>
      </c>
      <c r="BQ10" t="s">
        <v>1527</v>
      </c>
      <c r="BR10" t="s">
        <v>1590</v>
      </c>
      <c r="BS10" t="s">
        <v>1360</v>
      </c>
      <c r="BT10" t="s">
        <v>1360</v>
      </c>
      <c r="BU10" t="s">
        <v>1360</v>
      </c>
      <c r="BV10" t="s">
        <v>1360</v>
      </c>
      <c r="BW10" t="s">
        <v>1360</v>
      </c>
      <c r="BX10" t="s">
        <v>1360</v>
      </c>
      <c r="BY10" t="s">
        <v>1360</v>
      </c>
      <c r="BZ10" t="s">
        <v>1360</v>
      </c>
      <c r="CA10" t="s">
        <v>1360</v>
      </c>
      <c r="CB10" t="s">
        <v>1360</v>
      </c>
      <c r="CC10" t="s">
        <v>1360</v>
      </c>
      <c r="CD10" t="s">
        <v>1360</v>
      </c>
      <c r="CE10" t="s">
        <v>1360</v>
      </c>
      <c r="CF10" t="s">
        <v>1360</v>
      </c>
      <c r="CG10" t="s">
        <v>1360</v>
      </c>
      <c r="CH10" t="s">
        <v>1517</v>
      </c>
      <c r="CI10" t="s">
        <v>1360</v>
      </c>
      <c r="CJ10" t="s">
        <v>1360</v>
      </c>
      <c r="CK10" t="s">
        <v>1360</v>
      </c>
      <c r="CL10" t="s">
        <v>1360</v>
      </c>
      <c r="CM10" t="s">
        <v>1360</v>
      </c>
      <c r="CN10" t="s">
        <v>1360</v>
      </c>
      <c r="CO10" t="s">
        <v>1360</v>
      </c>
      <c r="CP10" t="s">
        <v>1360</v>
      </c>
      <c r="CR10">
        <v>0</v>
      </c>
      <c r="CS10" t="s">
        <v>1360</v>
      </c>
      <c r="CU10" t="s">
        <v>1360</v>
      </c>
      <c r="CV10" t="s">
        <v>1360</v>
      </c>
      <c r="CW10" t="s">
        <v>1360</v>
      </c>
      <c r="CX10" t="s">
        <v>1360</v>
      </c>
      <c r="CY10" t="s">
        <v>1360</v>
      </c>
      <c r="CZ10" t="s">
        <v>1360</v>
      </c>
      <c r="DA10" t="s">
        <v>1360</v>
      </c>
      <c r="DB10" t="s">
        <v>1360</v>
      </c>
      <c r="DC10" t="s">
        <v>1360</v>
      </c>
      <c r="DD10" t="s">
        <v>1360</v>
      </c>
      <c r="DE10" t="s">
        <v>1360</v>
      </c>
      <c r="DG10" t="s">
        <v>1517</v>
      </c>
      <c r="DH10" t="s">
        <v>1360</v>
      </c>
      <c r="DJ10" t="s">
        <v>1360</v>
      </c>
      <c r="DK10" t="s">
        <v>1517</v>
      </c>
      <c r="DL10" t="s">
        <v>1360</v>
      </c>
      <c r="DM10" t="s">
        <v>1360</v>
      </c>
      <c r="DN10" t="s">
        <v>1360</v>
      </c>
      <c r="DO10" t="s">
        <v>1360</v>
      </c>
      <c r="DP10" t="s">
        <v>1360</v>
      </c>
      <c r="DQ10" t="s">
        <v>1360</v>
      </c>
      <c r="DR10">
        <v>0</v>
      </c>
      <c r="DS10" t="s">
        <v>1360</v>
      </c>
      <c r="DT10" t="s">
        <v>1360</v>
      </c>
      <c r="DU10" t="s">
        <v>1360</v>
      </c>
      <c r="DV10" t="s">
        <v>1360</v>
      </c>
      <c r="DW10" t="s">
        <v>1360</v>
      </c>
      <c r="DX10" t="s">
        <v>1360</v>
      </c>
      <c r="DY10" t="s">
        <v>1360</v>
      </c>
      <c r="DZ10" t="s">
        <v>1360</v>
      </c>
      <c r="EA10" t="s">
        <v>1360</v>
      </c>
      <c r="EB10" t="s">
        <v>1360</v>
      </c>
      <c r="EC10" t="s">
        <v>1360</v>
      </c>
      <c r="ED10" t="s">
        <v>1360</v>
      </c>
      <c r="EE10" t="s">
        <v>1360</v>
      </c>
      <c r="EF10">
        <v>0</v>
      </c>
      <c r="EG10" t="s">
        <v>1360</v>
      </c>
      <c r="EH10" t="s">
        <v>1360</v>
      </c>
    </row>
    <row r="11" spans="1:138">
      <c r="A11" t="s">
        <v>1624</v>
      </c>
      <c r="B11" t="s">
        <v>1508</v>
      </c>
      <c r="C11" t="s">
        <v>1592</v>
      </c>
      <c r="D11" t="s">
        <v>1625</v>
      </c>
      <c r="E11" t="s">
        <v>1360</v>
      </c>
      <c r="F11" t="s">
        <v>1360</v>
      </c>
      <c r="G11" t="s">
        <v>1626</v>
      </c>
      <c r="H11" t="s">
        <v>1627</v>
      </c>
      <c r="I11" t="s">
        <v>1360</v>
      </c>
      <c r="J11" t="s">
        <v>1360</v>
      </c>
      <c r="K11" t="s">
        <v>1628</v>
      </c>
      <c r="L11" t="s">
        <v>1629</v>
      </c>
      <c r="M11" t="s">
        <v>1630</v>
      </c>
      <c r="N11" t="s">
        <v>1631</v>
      </c>
      <c r="O11" t="s">
        <v>1632</v>
      </c>
      <c r="P11" t="s">
        <v>1592</v>
      </c>
      <c r="Q11" t="s">
        <v>1633</v>
      </c>
      <c r="R11" t="s">
        <v>1634</v>
      </c>
      <c r="S11" t="s">
        <v>1360</v>
      </c>
      <c r="T11" t="s">
        <v>1360</v>
      </c>
      <c r="U11" t="s">
        <v>1517</v>
      </c>
      <c r="V11" t="s">
        <v>1517</v>
      </c>
      <c r="W11" t="s">
        <v>1360</v>
      </c>
      <c r="X11" t="s">
        <v>1599</v>
      </c>
      <c r="Y11" t="s">
        <v>1517</v>
      </c>
      <c r="Z11" t="s">
        <v>1360</v>
      </c>
      <c r="AA11" t="s">
        <v>1360</v>
      </c>
      <c r="AB11" t="s">
        <v>1360</v>
      </c>
      <c r="AC11">
        <v>42848</v>
      </c>
      <c r="AD11" t="s">
        <v>1519</v>
      </c>
      <c r="AE11" t="s">
        <v>1360</v>
      </c>
      <c r="AF11" t="s">
        <v>1360</v>
      </c>
      <c r="AG11" t="s">
        <v>1601</v>
      </c>
      <c r="AH11" t="s">
        <v>1360</v>
      </c>
      <c r="AI11" t="s">
        <v>1360</v>
      </c>
      <c r="AJ11" t="s">
        <v>1360</v>
      </c>
      <c r="AK11" t="s">
        <v>1360</v>
      </c>
      <c r="AL11" t="s">
        <v>1360</v>
      </c>
      <c r="AM11" t="s">
        <v>1602</v>
      </c>
      <c r="AN11" t="s">
        <v>1635</v>
      </c>
      <c r="AO11" t="e">
        <f>_xlfn.XLOOKUP(AN11,#REF!,#REF!)</f>
        <v>#REF!</v>
      </c>
      <c r="AP11" t="s">
        <v>1360</v>
      </c>
      <c r="AQ11" t="s">
        <v>1360</v>
      </c>
      <c r="AR11" t="s">
        <v>1360</v>
      </c>
      <c r="AS11" t="s">
        <v>1604</v>
      </c>
      <c r="AT11" t="s">
        <v>1360</v>
      </c>
      <c r="AU11" t="s">
        <v>1360</v>
      </c>
      <c r="AV11" t="s">
        <v>1360</v>
      </c>
      <c r="AW11" t="s">
        <v>1360</v>
      </c>
      <c r="AX11" t="s">
        <v>1360</v>
      </c>
      <c r="AY11" t="s">
        <v>1360</v>
      </c>
      <c r="AZ11" t="s">
        <v>1360</v>
      </c>
      <c r="BA11" t="s">
        <v>1360</v>
      </c>
      <c r="BB11" t="s">
        <v>1360</v>
      </c>
      <c r="BC11" t="s">
        <v>1360</v>
      </c>
      <c r="BD11" t="s">
        <v>1360</v>
      </c>
      <c r="BE11" t="s">
        <v>1360</v>
      </c>
      <c r="BG11" t="s">
        <v>1360</v>
      </c>
      <c r="BH11" t="s">
        <v>1360</v>
      </c>
      <c r="BJ11" t="s">
        <v>1360</v>
      </c>
      <c r="BK11" t="s">
        <v>1360</v>
      </c>
      <c r="BL11" t="s">
        <v>1360</v>
      </c>
      <c r="BM11" t="s">
        <v>1636</v>
      </c>
      <c r="BN11" t="s">
        <v>1360</v>
      </c>
      <c r="BO11" t="s">
        <v>1360</v>
      </c>
      <c r="BP11" t="s">
        <v>1360</v>
      </c>
      <c r="BQ11" t="s">
        <v>1527</v>
      </c>
      <c r="BR11" t="s">
        <v>1637</v>
      </c>
      <c r="BS11" t="s">
        <v>1360</v>
      </c>
      <c r="BT11" t="s">
        <v>1360</v>
      </c>
      <c r="BU11" t="s">
        <v>1360</v>
      </c>
      <c r="BV11" t="s">
        <v>1360</v>
      </c>
      <c r="BW11" t="s">
        <v>1360</v>
      </c>
      <c r="BX11" t="s">
        <v>1360</v>
      </c>
      <c r="BY11" t="s">
        <v>1360</v>
      </c>
      <c r="BZ11" t="s">
        <v>1360</v>
      </c>
      <c r="CA11" t="s">
        <v>1360</v>
      </c>
      <c r="CB11" t="s">
        <v>1360</v>
      </c>
      <c r="CC11" t="s">
        <v>1360</v>
      </c>
      <c r="CD11" t="s">
        <v>1360</v>
      </c>
      <c r="CE11" t="s">
        <v>1360</v>
      </c>
      <c r="CF11" t="s">
        <v>1360</v>
      </c>
      <c r="CG11" t="s">
        <v>1360</v>
      </c>
      <c r="CH11" t="s">
        <v>1517</v>
      </c>
      <c r="CI11" t="s">
        <v>1360</v>
      </c>
      <c r="CJ11" t="s">
        <v>1360</v>
      </c>
      <c r="CK11" t="s">
        <v>1360</v>
      </c>
      <c r="CL11" t="s">
        <v>1360</v>
      </c>
      <c r="CM11" t="s">
        <v>1360</v>
      </c>
      <c r="CN11" t="s">
        <v>1360</v>
      </c>
      <c r="CO11" t="s">
        <v>1360</v>
      </c>
      <c r="CP11" t="s">
        <v>1360</v>
      </c>
      <c r="CR11">
        <v>0</v>
      </c>
      <c r="CS11" t="s">
        <v>1360</v>
      </c>
      <c r="CU11" t="s">
        <v>1360</v>
      </c>
      <c r="CV11" t="s">
        <v>1360</v>
      </c>
      <c r="CW11" t="s">
        <v>1360</v>
      </c>
      <c r="CX11" t="s">
        <v>1360</v>
      </c>
      <c r="CY11" t="s">
        <v>1360</v>
      </c>
      <c r="CZ11" t="s">
        <v>1360</v>
      </c>
      <c r="DA11" t="s">
        <v>1360</v>
      </c>
      <c r="DB11" t="s">
        <v>1360</v>
      </c>
      <c r="DC11" t="s">
        <v>1360</v>
      </c>
      <c r="DD11" t="s">
        <v>1360</v>
      </c>
      <c r="DE11" t="s">
        <v>1360</v>
      </c>
      <c r="DG11" t="s">
        <v>1517</v>
      </c>
      <c r="DH11" t="s">
        <v>1360</v>
      </c>
      <c r="DJ11" t="s">
        <v>1360</v>
      </c>
      <c r="DK11" t="s">
        <v>1517</v>
      </c>
      <c r="DL11" t="s">
        <v>1360</v>
      </c>
      <c r="DM11" t="s">
        <v>1360</v>
      </c>
      <c r="DN11" t="s">
        <v>1360</v>
      </c>
      <c r="DO11" t="s">
        <v>1360</v>
      </c>
      <c r="DP11" t="s">
        <v>1360</v>
      </c>
      <c r="DQ11" t="s">
        <v>1360</v>
      </c>
      <c r="DR11">
        <v>0</v>
      </c>
      <c r="DS11" t="s">
        <v>1360</v>
      </c>
      <c r="DT11" t="s">
        <v>1360</v>
      </c>
      <c r="DU11" t="s">
        <v>1360</v>
      </c>
      <c r="DV11" t="s">
        <v>1360</v>
      </c>
      <c r="DW11" t="s">
        <v>1360</v>
      </c>
      <c r="DX11" t="s">
        <v>1360</v>
      </c>
      <c r="DY11" t="s">
        <v>1360</v>
      </c>
      <c r="DZ11" t="s">
        <v>1360</v>
      </c>
      <c r="EA11" t="s">
        <v>1360</v>
      </c>
      <c r="EB11" t="s">
        <v>1360</v>
      </c>
      <c r="EC11" t="s">
        <v>1360</v>
      </c>
      <c r="ED11" t="s">
        <v>1360</v>
      </c>
      <c r="EE11" t="s">
        <v>1360</v>
      </c>
      <c r="EF11">
        <v>0</v>
      </c>
      <c r="EG11" t="s">
        <v>1360</v>
      </c>
      <c r="EH11" t="s">
        <v>1360</v>
      </c>
    </row>
    <row r="12" spans="1:138">
      <c r="A12" t="s">
        <v>1638</v>
      </c>
      <c r="B12" t="s">
        <v>1508</v>
      </c>
      <c r="C12" t="s">
        <v>1592</v>
      </c>
      <c r="D12" t="s">
        <v>1639</v>
      </c>
      <c r="E12" t="s">
        <v>1360</v>
      </c>
      <c r="F12" t="s">
        <v>1360</v>
      </c>
      <c r="G12" t="s">
        <v>1640</v>
      </c>
      <c r="H12" t="s">
        <v>1641</v>
      </c>
      <c r="I12" t="s">
        <v>1360</v>
      </c>
      <c r="J12" t="s">
        <v>1360</v>
      </c>
      <c r="K12" t="s">
        <v>1642</v>
      </c>
      <c r="L12" t="s">
        <v>1643</v>
      </c>
      <c r="M12" t="s">
        <v>1644</v>
      </c>
      <c r="N12" t="s">
        <v>1645</v>
      </c>
      <c r="O12" t="s">
        <v>1646</v>
      </c>
      <c r="P12" t="s">
        <v>1592</v>
      </c>
      <c r="Q12" t="s">
        <v>1647</v>
      </c>
      <c r="R12" t="s">
        <v>1648</v>
      </c>
      <c r="S12" t="s">
        <v>1360</v>
      </c>
      <c r="T12" t="s">
        <v>1360</v>
      </c>
      <c r="U12" t="s">
        <v>1517</v>
      </c>
      <c r="V12" t="s">
        <v>1517</v>
      </c>
      <c r="W12" t="s">
        <v>1360</v>
      </c>
      <c r="X12" t="s">
        <v>1599</v>
      </c>
      <c r="Y12" t="s">
        <v>1517</v>
      </c>
      <c r="Z12" t="s">
        <v>1360</v>
      </c>
      <c r="AA12" t="s">
        <v>1360</v>
      </c>
      <c r="AB12" t="s">
        <v>1360</v>
      </c>
      <c r="AC12">
        <v>42848</v>
      </c>
      <c r="AD12" t="s">
        <v>1519</v>
      </c>
      <c r="AE12" t="s">
        <v>1360</v>
      </c>
      <c r="AF12" t="s">
        <v>1360</v>
      </c>
      <c r="AG12" t="s">
        <v>1601</v>
      </c>
      <c r="AH12" t="s">
        <v>1360</v>
      </c>
      <c r="AI12" t="s">
        <v>1360</v>
      </c>
      <c r="AJ12" t="s">
        <v>1360</v>
      </c>
      <c r="AK12" t="s">
        <v>1360</v>
      </c>
      <c r="AL12" t="s">
        <v>1360</v>
      </c>
      <c r="AM12" t="s">
        <v>1602</v>
      </c>
      <c r="AN12" t="s">
        <v>1649</v>
      </c>
      <c r="AO12" t="e">
        <f>_xlfn.XLOOKUP(AN12,#REF!,#REF!)</f>
        <v>#REF!</v>
      </c>
      <c r="AP12" t="s">
        <v>1360</v>
      </c>
      <c r="AQ12" t="s">
        <v>1360</v>
      </c>
      <c r="AR12" t="s">
        <v>1360</v>
      </c>
      <c r="AS12" t="s">
        <v>1360</v>
      </c>
      <c r="AT12" t="s">
        <v>1360</v>
      </c>
      <c r="AU12" t="s">
        <v>1360</v>
      </c>
      <c r="AV12" t="s">
        <v>1360</v>
      </c>
      <c r="AW12" t="s">
        <v>1360</v>
      </c>
      <c r="AX12" t="s">
        <v>1360</v>
      </c>
      <c r="AY12" t="s">
        <v>1360</v>
      </c>
      <c r="AZ12" t="s">
        <v>1360</v>
      </c>
      <c r="BA12" t="s">
        <v>1360</v>
      </c>
      <c r="BB12" t="s">
        <v>1360</v>
      </c>
      <c r="BC12" t="s">
        <v>1360</v>
      </c>
      <c r="BD12" t="s">
        <v>1360</v>
      </c>
      <c r="BE12" t="s">
        <v>1360</v>
      </c>
      <c r="BG12" t="s">
        <v>1360</v>
      </c>
      <c r="BH12" t="s">
        <v>1360</v>
      </c>
      <c r="BJ12" t="s">
        <v>1360</v>
      </c>
      <c r="BK12" t="s">
        <v>1360</v>
      </c>
      <c r="BL12" t="s">
        <v>1360</v>
      </c>
      <c r="BM12" t="s">
        <v>1650</v>
      </c>
      <c r="BN12" t="s">
        <v>1360</v>
      </c>
      <c r="BO12" t="s">
        <v>1360</v>
      </c>
      <c r="BP12" t="s">
        <v>1360</v>
      </c>
      <c r="BQ12" t="s">
        <v>1527</v>
      </c>
      <c r="BR12" t="s">
        <v>1651</v>
      </c>
      <c r="BS12" t="s">
        <v>1360</v>
      </c>
      <c r="BT12" t="s">
        <v>1360</v>
      </c>
      <c r="BU12" t="s">
        <v>1360</v>
      </c>
      <c r="BV12" t="s">
        <v>1360</v>
      </c>
      <c r="BW12" t="s">
        <v>1360</v>
      </c>
      <c r="BX12" t="s">
        <v>1360</v>
      </c>
      <c r="BY12" t="s">
        <v>1360</v>
      </c>
      <c r="BZ12" t="s">
        <v>1360</v>
      </c>
      <c r="CA12" t="s">
        <v>1360</v>
      </c>
      <c r="CB12" t="s">
        <v>1360</v>
      </c>
      <c r="CC12" t="s">
        <v>1360</v>
      </c>
      <c r="CD12" t="s">
        <v>1360</v>
      </c>
      <c r="CE12" t="s">
        <v>1360</v>
      </c>
      <c r="CF12" t="s">
        <v>1360</v>
      </c>
      <c r="CG12" t="s">
        <v>1360</v>
      </c>
      <c r="CH12" t="s">
        <v>1517</v>
      </c>
      <c r="CI12" t="s">
        <v>1360</v>
      </c>
      <c r="CJ12" t="s">
        <v>1360</v>
      </c>
      <c r="CK12" t="s">
        <v>1360</v>
      </c>
      <c r="CL12" t="s">
        <v>1360</v>
      </c>
      <c r="CM12" t="s">
        <v>1360</v>
      </c>
      <c r="CN12" t="s">
        <v>1360</v>
      </c>
      <c r="CO12" t="s">
        <v>1360</v>
      </c>
      <c r="CP12" t="s">
        <v>1360</v>
      </c>
      <c r="CR12">
        <v>0</v>
      </c>
      <c r="CS12" t="s">
        <v>1360</v>
      </c>
      <c r="CU12" t="s">
        <v>1360</v>
      </c>
      <c r="CV12" t="s">
        <v>1360</v>
      </c>
      <c r="CW12" t="s">
        <v>1360</v>
      </c>
      <c r="CX12" t="s">
        <v>1360</v>
      </c>
      <c r="CY12" t="s">
        <v>1360</v>
      </c>
      <c r="CZ12" t="s">
        <v>1360</v>
      </c>
      <c r="DA12" t="s">
        <v>1360</v>
      </c>
      <c r="DB12" t="s">
        <v>1360</v>
      </c>
      <c r="DC12" t="s">
        <v>1360</v>
      </c>
      <c r="DD12" t="s">
        <v>1360</v>
      </c>
      <c r="DE12" t="s">
        <v>1360</v>
      </c>
      <c r="DG12" t="s">
        <v>1517</v>
      </c>
      <c r="DH12" t="s">
        <v>1360</v>
      </c>
      <c r="DJ12" t="s">
        <v>1360</v>
      </c>
      <c r="DK12" t="s">
        <v>1517</v>
      </c>
      <c r="DL12" t="s">
        <v>1360</v>
      </c>
      <c r="DM12" t="s">
        <v>1360</v>
      </c>
      <c r="DN12" t="s">
        <v>1360</v>
      </c>
      <c r="DO12" t="s">
        <v>1360</v>
      </c>
      <c r="DP12" t="s">
        <v>1360</v>
      </c>
      <c r="DQ12" t="s">
        <v>1360</v>
      </c>
      <c r="DR12">
        <v>0</v>
      </c>
      <c r="DS12" t="s">
        <v>1360</v>
      </c>
      <c r="DT12" t="s">
        <v>1360</v>
      </c>
      <c r="DU12" t="s">
        <v>1360</v>
      </c>
      <c r="DV12" t="s">
        <v>1360</v>
      </c>
      <c r="DW12" t="s">
        <v>1360</v>
      </c>
      <c r="DX12" t="s">
        <v>1360</v>
      </c>
      <c r="DY12" t="s">
        <v>1360</v>
      </c>
      <c r="DZ12" t="s">
        <v>1360</v>
      </c>
      <c r="EA12" t="s">
        <v>1360</v>
      </c>
      <c r="EB12" t="s">
        <v>1360</v>
      </c>
      <c r="EC12" t="s">
        <v>1360</v>
      </c>
      <c r="ED12" t="s">
        <v>1360</v>
      </c>
      <c r="EE12" t="s">
        <v>1360</v>
      </c>
      <c r="EF12">
        <v>0</v>
      </c>
      <c r="EG12" t="s">
        <v>1360</v>
      </c>
      <c r="EH12" t="s">
        <v>1360</v>
      </c>
    </row>
    <row r="13" spans="1:138">
      <c r="A13" t="s">
        <v>1652</v>
      </c>
      <c r="B13" t="s">
        <v>1508</v>
      </c>
      <c r="C13" t="s">
        <v>1592</v>
      </c>
      <c r="D13" t="s">
        <v>1653</v>
      </c>
      <c r="E13" t="s">
        <v>1360</v>
      </c>
      <c r="F13" t="s">
        <v>1360</v>
      </c>
      <c r="G13" t="s">
        <v>1653</v>
      </c>
      <c r="H13" t="s">
        <v>1654</v>
      </c>
      <c r="I13" t="s">
        <v>1360</v>
      </c>
      <c r="J13" t="s">
        <v>1360</v>
      </c>
      <c r="K13" t="s">
        <v>1655</v>
      </c>
      <c r="L13" t="s">
        <v>32</v>
      </c>
      <c r="M13" t="s">
        <v>1656</v>
      </c>
      <c r="N13" t="s">
        <v>1657</v>
      </c>
      <c r="O13" t="s">
        <v>1658</v>
      </c>
      <c r="P13" t="s">
        <v>1592</v>
      </c>
      <c r="Q13" t="s">
        <v>1656</v>
      </c>
      <c r="R13" t="s">
        <v>1656</v>
      </c>
      <c r="S13" t="s">
        <v>1360</v>
      </c>
      <c r="T13" t="s">
        <v>1360</v>
      </c>
      <c r="U13" t="s">
        <v>1517</v>
      </c>
      <c r="V13" t="s">
        <v>1517</v>
      </c>
      <c r="W13" t="s">
        <v>1360</v>
      </c>
      <c r="X13" t="s">
        <v>1599</v>
      </c>
      <c r="Y13" t="s">
        <v>1517</v>
      </c>
      <c r="Z13" t="s">
        <v>1360</v>
      </c>
      <c r="AA13" t="s">
        <v>1360</v>
      </c>
      <c r="AB13" t="s">
        <v>1360</v>
      </c>
      <c r="AC13">
        <v>42848</v>
      </c>
      <c r="AD13" t="s">
        <v>1519</v>
      </c>
      <c r="AE13" t="s">
        <v>1360</v>
      </c>
      <c r="AF13" t="s">
        <v>1360</v>
      </c>
      <c r="AG13" t="s">
        <v>1601</v>
      </c>
      <c r="AH13" t="s">
        <v>1360</v>
      </c>
      <c r="AI13" t="s">
        <v>1360</v>
      </c>
      <c r="AJ13" t="s">
        <v>1360</v>
      </c>
      <c r="AK13" t="s">
        <v>1360</v>
      </c>
      <c r="AL13" t="s">
        <v>1360</v>
      </c>
      <c r="AM13" t="s">
        <v>1602</v>
      </c>
      <c r="AN13" t="s">
        <v>1659</v>
      </c>
      <c r="AO13" t="e">
        <f>_xlfn.XLOOKUP(AN13,#REF!,#REF!)</f>
        <v>#REF!</v>
      </c>
      <c r="AP13" t="s">
        <v>1360</v>
      </c>
      <c r="AQ13" t="s">
        <v>1360</v>
      </c>
      <c r="AR13" t="s">
        <v>1360</v>
      </c>
      <c r="AS13" t="s">
        <v>1604</v>
      </c>
      <c r="AT13" t="s">
        <v>1360</v>
      </c>
      <c r="AU13" t="s">
        <v>1360</v>
      </c>
      <c r="AV13" t="s">
        <v>1360</v>
      </c>
      <c r="AW13" t="s">
        <v>1360</v>
      </c>
      <c r="AX13" t="s">
        <v>1360</v>
      </c>
      <c r="AY13" t="s">
        <v>1360</v>
      </c>
      <c r="AZ13" t="s">
        <v>1360</v>
      </c>
      <c r="BA13" t="s">
        <v>1360</v>
      </c>
      <c r="BB13" t="s">
        <v>1360</v>
      </c>
      <c r="BC13" t="s">
        <v>1360</v>
      </c>
      <c r="BD13" t="s">
        <v>1360</v>
      </c>
      <c r="BE13" t="s">
        <v>1360</v>
      </c>
      <c r="BG13" t="s">
        <v>1360</v>
      </c>
      <c r="BH13" t="s">
        <v>1360</v>
      </c>
      <c r="BJ13" t="s">
        <v>1360</v>
      </c>
      <c r="BK13" t="s">
        <v>1360</v>
      </c>
      <c r="BL13" t="s">
        <v>1360</v>
      </c>
      <c r="BM13" t="s">
        <v>1660</v>
      </c>
      <c r="BN13" t="s">
        <v>1360</v>
      </c>
      <c r="BO13" t="s">
        <v>1360</v>
      </c>
      <c r="BP13" t="s">
        <v>1360</v>
      </c>
      <c r="BQ13" t="s">
        <v>1527</v>
      </c>
      <c r="BR13" t="s">
        <v>1661</v>
      </c>
      <c r="BS13" t="s">
        <v>1360</v>
      </c>
      <c r="BT13" t="s">
        <v>1360</v>
      </c>
      <c r="BU13" t="s">
        <v>1360</v>
      </c>
      <c r="BV13" t="s">
        <v>1360</v>
      </c>
      <c r="BW13" t="s">
        <v>1360</v>
      </c>
      <c r="BX13" t="s">
        <v>1360</v>
      </c>
      <c r="BY13" t="s">
        <v>1360</v>
      </c>
      <c r="BZ13" t="s">
        <v>1360</v>
      </c>
      <c r="CA13" t="s">
        <v>1360</v>
      </c>
      <c r="CB13" t="s">
        <v>1360</v>
      </c>
      <c r="CC13" t="s">
        <v>1662</v>
      </c>
      <c r="CD13" t="s">
        <v>1360</v>
      </c>
      <c r="CE13" t="s">
        <v>1360</v>
      </c>
      <c r="CF13" t="s">
        <v>1360</v>
      </c>
      <c r="CG13" t="s">
        <v>1360</v>
      </c>
      <c r="CH13" t="s">
        <v>1517</v>
      </c>
      <c r="CI13" t="s">
        <v>1360</v>
      </c>
      <c r="CJ13" t="s">
        <v>1360</v>
      </c>
      <c r="CK13" t="s">
        <v>1360</v>
      </c>
      <c r="CL13" t="s">
        <v>1360</v>
      </c>
      <c r="CM13" t="s">
        <v>1360</v>
      </c>
      <c r="CN13" t="s">
        <v>1360</v>
      </c>
      <c r="CO13" t="s">
        <v>1360</v>
      </c>
      <c r="CP13" t="s">
        <v>1360</v>
      </c>
      <c r="CR13">
        <v>0</v>
      </c>
      <c r="CS13" t="s">
        <v>1360</v>
      </c>
      <c r="CU13" t="s">
        <v>1360</v>
      </c>
      <c r="CV13" t="s">
        <v>1360</v>
      </c>
      <c r="CW13" t="s">
        <v>1360</v>
      </c>
      <c r="CX13" t="s">
        <v>1360</v>
      </c>
      <c r="CY13" t="s">
        <v>1360</v>
      </c>
      <c r="CZ13" t="s">
        <v>1360</v>
      </c>
      <c r="DA13" t="s">
        <v>1360</v>
      </c>
      <c r="DB13" t="s">
        <v>1360</v>
      </c>
      <c r="DC13" t="s">
        <v>1360</v>
      </c>
      <c r="DD13" t="s">
        <v>1360</v>
      </c>
      <c r="DE13" t="s">
        <v>1360</v>
      </c>
      <c r="DG13" t="s">
        <v>1517</v>
      </c>
      <c r="DH13" t="s">
        <v>1360</v>
      </c>
      <c r="DJ13" t="s">
        <v>1360</v>
      </c>
      <c r="DK13" t="s">
        <v>1517</v>
      </c>
      <c r="DL13" t="s">
        <v>1360</v>
      </c>
      <c r="DM13" t="s">
        <v>1360</v>
      </c>
      <c r="DN13" t="s">
        <v>1360</v>
      </c>
      <c r="DO13" t="s">
        <v>1360</v>
      </c>
      <c r="DP13" t="s">
        <v>1360</v>
      </c>
      <c r="DQ13" t="s">
        <v>1360</v>
      </c>
      <c r="DR13">
        <v>0</v>
      </c>
      <c r="DS13" t="s">
        <v>1360</v>
      </c>
      <c r="DT13" t="s">
        <v>1360</v>
      </c>
      <c r="DU13" t="s">
        <v>1360</v>
      </c>
      <c r="DV13" t="s">
        <v>1360</v>
      </c>
      <c r="DW13" t="s">
        <v>1360</v>
      </c>
      <c r="DX13" t="s">
        <v>1360</v>
      </c>
      <c r="DY13" t="s">
        <v>1360</v>
      </c>
      <c r="DZ13" t="s">
        <v>1360</v>
      </c>
      <c r="EA13" t="s">
        <v>1360</v>
      </c>
      <c r="EB13" t="s">
        <v>1360</v>
      </c>
      <c r="EC13" t="s">
        <v>1360</v>
      </c>
      <c r="ED13" t="s">
        <v>1360</v>
      </c>
      <c r="EE13" t="s">
        <v>1360</v>
      </c>
      <c r="EF13">
        <v>0</v>
      </c>
      <c r="EG13" t="s">
        <v>1360</v>
      </c>
      <c r="EH13" t="s">
        <v>1360</v>
      </c>
    </row>
    <row r="14" spans="1:138" hidden="1">
      <c r="A14" t="s">
        <v>1663</v>
      </c>
      <c r="B14" t="s">
        <v>1508</v>
      </c>
      <c r="C14" t="s">
        <v>1592</v>
      </c>
      <c r="D14" t="s">
        <v>30</v>
      </c>
      <c r="E14" t="s">
        <v>1360</v>
      </c>
      <c r="F14" t="s">
        <v>1360</v>
      </c>
      <c r="G14" t="s">
        <v>1516</v>
      </c>
      <c r="H14" t="s">
        <v>30</v>
      </c>
      <c r="I14" t="s">
        <v>1360</v>
      </c>
      <c r="J14" t="s">
        <v>1360</v>
      </c>
      <c r="K14" t="s">
        <v>1511</v>
      </c>
      <c r="L14" t="s">
        <v>32</v>
      </c>
      <c r="M14" t="s">
        <v>1664</v>
      </c>
      <c r="N14" t="s">
        <v>1513</v>
      </c>
      <c r="O14" t="s">
        <v>1665</v>
      </c>
      <c r="P14" t="s">
        <v>1592</v>
      </c>
      <c r="Q14" t="s">
        <v>1666</v>
      </c>
      <c r="R14" t="s">
        <v>1516</v>
      </c>
      <c r="S14" t="s">
        <v>1360</v>
      </c>
      <c r="T14" t="s">
        <v>1360</v>
      </c>
      <c r="U14" t="s">
        <v>1517</v>
      </c>
      <c r="V14" t="s">
        <v>1517</v>
      </c>
      <c r="W14" t="s">
        <v>1360</v>
      </c>
      <c r="X14" t="s">
        <v>1599</v>
      </c>
      <c r="Y14" t="s">
        <v>1517</v>
      </c>
      <c r="Z14" t="s">
        <v>1360</v>
      </c>
      <c r="AA14" t="s">
        <v>1360</v>
      </c>
      <c r="AB14" t="s">
        <v>1360</v>
      </c>
      <c r="AC14">
        <v>42848</v>
      </c>
      <c r="AD14" t="s">
        <v>1519</v>
      </c>
      <c r="AE14" t="s">
        <v>1360</v>
      </c>
      <c r="AF14" t="s">
        <v>1360</v>
      </c>
      <c r="AG14" t="s">
        <v>1601</v>
      </c>
      <c r="AH14" t="s">
        <v>1360</v>
      </c>
      <c r="AI14" t="s">
        <v>1360</v>
      </c>
      <c r="AJ14" t="s">
        <v>1360</v>
      </c>
      <c r="AK14" t="s">
        <v>1360</v>
      </c>
      <c r="AL14" t="s">
        <v>1360</v>
      </c>
      <c r="AM14" t="s">
        <v>1602</v>
      </c>
      <c r="AN14" t="s">
        <v>1523</v>
      </c>
      <c r="AO14" t="e">
        <f>_xlfn.XLOOKUP(AN14,#REF!,#REF!)</f>
        <v>#REF!</v>
      </c>
      <c r="AP14" t="s">
        <v>1360</v>
      </c>
      <c r="AQ14" t="s">
        <v>1360</v>
      </c>
      <c r="AR14" t="s">
        <v>1360</v>
      </c>
      <c r="AS14" t="s">
        <v>1604</v>
      </c>
      <c r="AT14" t="s">
        <v>1360</v>
      </c>
      <c r="AU14" t="s">
        <v>1360</v>
      </c>
      <c r="AV14" t="s">
        <v>1360</v>
      </c>
      <c r="AW14" t="s">
        <v>1360</v>
      </c>
      <c r="AX14" t="s">
        <v>1360</v>
      </c>
      <c r="AY14" t="s">
        <v>1360</v>
      </c>
      <c r="AZ14" t="s">
        <v>1360</v>
      </c>
      <c r="BA14" t="s">
        <v>1360</v>
      </c>
      <c r="BB14" t="s">
        <v>1360</v>
      </c>
      <c r="BC14" t="s">
        <v>1360</v>
      </c>
      <c r="BD14" t="s">
        <v>1360</v>
      </c>
      <c r="BE14" t="s">
        <v>1360</v>
      </c>
      <c r="BG14" t="s">
        <v>1360</v>
      </c>
      <c r="BH14" t="s">
        <v>1360</v>
      </c>
      <c r="BJ14" t="s">
        <v>1360</v>
      </c>
      <c r="BK14" t="s">
        <v>1360</v>
      </c>
      <c r="BL14" t="s">
        <v>1360</v>
      </c>
      <c r="BM14" t="s">
        <v>1667</v>
      </c>
      <c r="BN14" t="s">
        <v>1360</v>
      </c>
      <c r="BO14" t="s">
        <v>1360</v>
      </c>
      <c r="BP14" t="s">
        <v>1360</v>
      </c>
      <c r="BQ14" t="s">
        <v>1527</v>
      </c>
      <c r="BR14" t="s">
        <v>1528</v>
      </c>
      <c r="BS14" t="s">
        <v>1360</v>
      </c>
      <c r="BT14" t="s">
        <v>1360</v>
      </c>
      <c r="BU14" t="s">
        <v>1360</v>
      </c>
      <c r="BV14" t="s">
        <v>1360</v>
      </c>
      <c r="BW14" t="s">
        <v>1360</v>
      </c>
      <c r="BX14" t="s">
        <v>1360</v>
      </c>
      <c r="BY14" t="s">
        <v>1360</v>
      </c>
      <c r="BZ14" t="s">
        <v>1360</v>
      </c>
      <c r="CA14" t="s">
        <v>1360</v>
      </c>
      <c r="CB14" t="s">
        <v>1360</v>
      </c>
      <c r="CC14" t="s">
        <v>1529</v>
      </c>
      <c r="CD14" t="s">
        <v>1360</v>
      </c>
      <c r="CE14" t="s">
        <v>1360</v>
      </c>
      <c r="CF14" t="s">
        <v>1360</v>
      </c>
      <c r="CG14" t="s">
        <v>1360</v>
      </c>
      <c r="CH14" t="s">
        <v>1517</v>
      </c>
      <c r="CI14" t="s">
        <v>1360</v>
      </c>
      <c r="CJ14" t="s">
        <v>1360</v>
      </c>
      <c r="CK14" t="s">
        <v>1360</v>
      </c>
      <c r="CL14" t="s">
        <v>1360</v>
      </c>
      <c r="CM14" t="s">
        <v>1360</v>
      </c>
      <c r="CN14" t="s">
        <v>1360</v>
      </c>
      <c r="CO14" t="s">
        <v>1360</v>
      </c>
      <c r="CP14" t="s">
        <v>1360</v>
      </c>
      <c r="CR14">
        <v>0</v>
      </c>
      <c r="CS14" t="s">
        <v>1360</v>
      </c>
      <c r="CU14" t="s">
        <v>1360</v>
      </c>
      <c r="CV14" t="s">
        <v>1360</v>
      </c>
      <c r="CW14" t="s">
        <v>1360</v>
      </c>
      <c r="CX14" t="s">
        <v>1360</v>
      </c>
      <c r="CY14" t="s">
        <v>1360</v>
      </c>
      <c r="CZ14" t="s">
        <v>1360</v>
      </c>
      <c r="DA14" t="s">
        <v>1360</v>
      </c>
      <c r="DB14" t="s">
        <v>1360</v>
      </c>
      <c r="DC14" t="s">
        <v>1360</v>
      </c>
      <c r="DD14" t="s">
        <v>1360</v>
      </c>
      <c r="DE14" t="s">
        <v>1360</v>
      </c>
      <c r="DG14" t="s">
        <v>1517</v>
      </c>
      <c r="DH14" t="s">
        <v>1360</v>
      </c>
      <c r="DJ14" t="s">
        <v>1360</v>
      </c>
      <c r="DK14" t="s">
        <v>1517</v>
      </c>
      <c r="DL14" t="s">
        <v>1360</v>
      </c>
      <c r="DM14" t="s">
        <v>1360</v>
      </c>
      <c r="DN14" t="s">
        <v>1360</v>
      </c>
      <c r="DO14" t="s">
        <v>1360</v>
      </c>
      <c r="DP14" t="s">
        <v>1360</v>
      </c>
      <c r="DQ14" t="s">
        <v>1360</v>
      </c>
      <c r="DR14">
        <v>0</v>
      </c>
      <c r="DS14" t="s">
        <v>1360</v>
      </c>
      <c r="DT14" t="s">
        <v>1360</v>
      </c>
      <c r="DU14" t="s">
        <v>1360</v>
      </c>
      <c r="DV14" t="s">
        <v>1360</v>
      </c>
      <c r="DW14" t="s">
        <v>1360</v>
      </c>
      <c r="DX14" t="s">
        <v>1360</v>
      </c>
      <c r="DY14" t="s">
        <v>1360</v>
      </c>
      <c r="DZ14" t="s">
        <v>1360</v>
      </c>
      <c r="EA14" t="s">
        <v>1360</v>
      </c>
      <c r="EB14" t="s">
        <v>1360</v>
      </c>
      <c r="EC14" t="s">
        <v>1360</v>
      </c>
      <c r="ED14" t="s">
        <v>1360</v>
      </c>
      <c r="EE14" t="s">
        <v>1360</v>
      </c>
      <c r="EF14">
        <v>0</v>
      </c>
      <c r="EG14" t="s">
        <v>1360</v>
      </c>
      <c r="EH14" t="s">
        <v>1360</v>
      </c>
    </row>
    <row r="15" spans="1:138" hidden="1">
      <c r="A15" t="s">
        <v>1668</v>
      </c>
      <c r="B15" t="s">
        <v>1508</v>
      </c>
      <c r="C15" t="s">
        <v>1592</v>
      </c>
      <c r="D15" t="s">
        <v>30</v>
      </c>
      <c r="E15" t="s">
        <v>1360</v>
      </c>
      <c r="F15" t="s">
        <v>1360</v>
      </c>
      <c r="G15" t="s">
        <v>1516</v>
      </c>
      <c r="H15" t="s">
        <v>30</v>
      </c>
      <c r="I15" t="s">
        <v>1360</v>
      </c>
      <c r="J15" t="s">
        <v>1360</v>
      </c>
      <c r="K15" t="s">
        <v>1511</v>
      </c>
      <c r="L15" t="s">
        <v>32</v>
      </c>
      <c r="M15" t="s">
        <v>1664</v>
      </c>
      <c r="N15" t="s">
        <v>1513</v>
      </c>
      <c r="O15" t="s">
        <v>1669</v>
      </c>
      <c r="P15" t="s">
        <v>1592</v>
      </c>
      <c r="Q15" t="s">
        <v>1666</v>
      </c>
      <c r="R15" t="s">
        <v>1516</v>
      </c>
      <c r="S15" t="s">
        <v>1360</v>
      </c>
      <c r="T15" t="s">
        <v>1360</v>
      </c>
      <c r="U15" t="s">
        <v>1517</v>
      </c>
      <c r="V15" t="s">
        <v>1517</v>
      </c>
      <c r="W15" t="s">
        <v>1360</v>
      </c>
      <c r="X15" t="s">
        <v>1599</v>
      </c>
      <c r="Y15" t="s">
        <v>1517</v>
      </c>
      <c r="Z15" t="s">
        <v>1360</v>
      </c>
      <c r="AA15" t="s">
        <v>1360</v>
      </c>
      <c r="AB15" t="s">
        <v>1360</v>
      </c>
      <c r="AC15">
        <v>45309</v>
      </c>
      <c r="AD15" t="s">
        <v>1539</v>
      </c>
      <c r="AE15" t="s">
        <v>1360</v>
      </c>
      <c r="AF15" t="s">
        <v>1360</v>
      </c>
      <c r="AG15" t="s">
        <v>1601</v>
      </c>
      <c r="AH15" t="s">
        <v>1360</v>
      </c>
      <c r="AI15" t="s">
        <v>1360</v>
      </c>
      <c r="AJ15" t="s">
        <v>1360</v>
      </c>
      <c r="AK15" t="s">
        <v>1360</v>
      </c>
      <c r="AL15" t="s">
        <v>1360</v>
      </c>
      <c r="AM15" t="s">
        <v>1602</v>
      </c>
      <c r="AN15" t="s">
        <v>1523</v>
      </c>
      <c r="AO15" t="e">
        <f>_xlfn.XLOOKUP(AN15,#REF!,#REF!)</f>
        <v>#REF!</v>
      </c>
      <c r="AP15" t="s">
        <v>1360</v>
      </c>
      <c r="AQ15" t="s">
        <v>1360</v>
      </c>
      <c r="AR15" t="s">
        <v>1360</v>
      </c>
      <c r="AS15" t="s">
        <v>1670</v>
      </c>
      <c r="AT15" t="s">
        <v>1360</v>
      </c>
      <c r="AU15" t="s">
        <v>1360</v>
      </c>
      <c r="AV15" t="s">
        <v>1360</v>
      </c>
      <c r="AW15" t="s">
        <v>1360</v>
      </c>
      <c r="AX15" t="s">
        <v>1360</v>
      </c>
      <c r="AY15" t="s">
        <v>1360</v>
      </c>
      <c r="AZ15" t="s">
        <v>1360</v>
      </c>
      <c r="BA15" t="s">
        <v>1360</v>
      </c>
      <c r="BB15" t="s">
        <v>1360</v>
      </c>
      <c r="BC15" t="s">
        <v>1360</v>
      </c>
      <c r="BD15" t="s">
        <v>1360</v>
      </c>
      <c r="BE15" t="s">
        <v>1360</v>
      </c>
      <c r="BG15" t="s">
        <v>1360</v>
      </c>
      <c r="BH15" t="s">
        <v>1360</v>
      </c>
      <c r="BJ15" t="s">
        <v>1360</v>
      </c>
      <c r="BK15" t="s">
        <v>1360</v>
      </c>
      <c r="BL15" t="s">
        <v>1360</v>
      </c>
      <c r="BM15" t="s">
        <v>1360</v>
      </c>
      <c r="BN15" t="s">
        <v>1360</v>
      </c>
      <c r="BO15" t="s">
        <v>1360</v>
      </c>
      <c r="BP15" t="s">
        <v>1360</v>
      </c>
      <c r="BQ15" t="s">
        <v>1527</v>
      </c>
      <c r="BR15" t="s">
        <v>1528</v>
      </c>
      <c r="BS15" t="s">
        <v>1360</v>
      </c>
      <c r="BT15" t="s">
        <v>1360</v>
      </c>
      <c r="BU15" t="s">
        <v>1360</v>
      </c>
      <c r="BV15" t="s">
        <v>1360</v>
      </c>
      <c r="BW15" t="s">
        <v>1360</v>
      </c>
      <c r="BX15" t="s">
        <v>1360</v>
      </c>
      <c r="BY15" t="s">
        <v>1360</v>
      </c>
      <c r="BZ15" t="s">
        <v>1360</v>
      </c>
      <c r="CA15" t="s">
        <v>1360</v>
      </c>
      <c r="CB15" t="s">
        <v>1360</v>
      </c>
      <c r="CC15" t="s">
        <v>1529</v>
      </c>
      <c r="CD15" t="s">
        <v>1360</v>
      </c>
      <c r="CE15" t="s">
        <v>1360</v>
      </c>
      <c r="CF15" t="s">
        <v>1360</v>
      </c>
      <c r="CG15" t="s">
        <v>1360</v>
      </c>
      <c r="CH15" t="s">
        <v>1517</v>
      </c>
      <c r="CI15" t="s">
        <v>1360</v>
      </c>
      <c r="CJ15" t="s">
        <v>1360</v>
      </c>
      <c r="CK15" t="s">
        <v>1360</v>
      </c>
      <c r="CL15" t="s">
        <v>1360</v>
      </c>
      <c r="CM15" t="s">
        <v>1360</v>
      </c>
      <c r="CN15" t="s">
        <v>1360</v>
      </c>
      <c r="CO15" t="s">
        <v>1360</v>
      </c>
      <c r="CP15" t="s">
        <v>1360</v>
      </c>
      <c r="CR15">
        <v>0</v>
      </c>
      <c r="CS15" t="s">
        <v>1360</v>
      </c>
      <c r="CU15" t="s">
        <v>1360</v>
      </c>
      <c r="CV15" t="s">
        <v>1360</v>
      </c>
      <c r="CW15" t="s">
        <v>1360</v>
      </c>
      <c r="CX15" t="s">
        <v>1360</v>
      </c>
      <c r="CY15" t="s">
        <v>1360</v>
      </c>
      <c r="CZ15" t="s">
        <v>1360</v>
      </c>
      <c r="DA15" t="s">
        <v>1360</v>
      </c>
      <c r="DB15" t="s">
        <v>1360</v>
      </c>
      <c r="DC15" t="s">
        <v>1360</v>
      </c>
      <c r="DD15" t="s">
        <v>1360</v>
      </c>
      <c r="DE15" t="s">
        <v>1360</v>
      </c>
      <c r="DG15" t="s">
        <v>1517</v>
      </c>
      <c r="DH15" t="s">
        <v>1360</v>
      </c>
      <c r="DJ15" t="s">
        <v>1360</v>
      </c>
      <c r="DK15" t="s">
        <v>1517</v>
      </c>
      <c r="DL15" t="s">
        <v>1360</v>
      </c>
      <c r="DM15" t="s">
        <v>1360</v>
      </c>
      <c r="DN15" t="s">
        <v>1360</v>
      </c>
      <c r="DO15" t="s">
        <v>1360</v>
      </c>
      <c r="DP15" t="s">
        <v>1360</v>
      </c>
      <c r="DQ15" t="s">
        <v>1360</v>
      </c>
      <c r="DR15">
        <v>0</v>
      </c>
      <c r="DS15" t="s">
        <v>1360</v>
      </c>
      <c r="DT15" t="s">
        <v>1360</v>
      </c>
      <c r="DU15" t="s">
        <v>1360</v>
      </c>
      <c r="DV15" t="s">
        <v>1360</v>
      </c>
      <c r="DW15" t="s">
        <v>1360</v>
      </c>
      <c r="DX15" t="s">
        <v>1360</v>
      </c>
      <c r="DY15" t="s">
        <v>1360</v>
      </c>
      <c r="DZ15" t="s">
        <v>1360</v>
      </c>
      <c r="EA15" t="s">
        <v>1360</v>
      </c>
      <c r="EB15" t="s">
        <v>1360</v>
      </c>
      <c r="EC15" t="s">
        <v>1360</v>
      </c>
      <c r="ED15" t="s">
        <v>1360</v>
      </c>
      <c r="EE15" t="s">
        <v>1360</v>
      </c>
      <c r="EF15">
        <v>0</v>
      </c>
      <c r="EG15" t="s">
        <v>1360</v>
      </c>
      <c r="EH15" t="s">
        <v>1360</v>
      </c>
    </row>
    <row r="16" spans="1:138" hidden="1">
      <c r="A16" t="s">
        <v>1671</v>
      </c>
      <c r="B16" t="s">
        <v>1508</v>
      </c>
      <c r="C16" t="s">
        <v>1592</v>
      </c>
      <c r="D16" t="s">
        <v>1672</v>
      </c>
      <c r="E16" t="s">
        <v>1360</v>
      </c>
      <c r="F16" t="s">
        <v>1360</v>
      </c>
      <c r="G16" t="s">
        <v>1516</v>
      </c>
      <c r="H16" t="s">
        <v>37</v>
      </c>
      <c r="I16" t="s">
        <v>1360</v>
      </c>
      <c r="J16" t="s">
        <v>1360</v>
      </c>
      <c r="K16" t="s">
        <v>1570</v>
      </c>
      <c r="L16" t="s">
        <v>32</v>
      </c>
      <c r="M16" t="s">
        <v>1673</v>
      </c>
      <c r="N16" t="s">
        <v>1674</v>
      </c>
      <c r="O16" t="s">
        <v>1675</v>
      </c>
      <c r="P16" t="s">
        <v>1592</v>
      </c>
      <c r="Q16" t="s">
        <v>1676</v>
      </c>
      <c r="R16" t="s">
        <v>1516</v>
      </c>
      <c r="S16" t="s">
        <v>1360</v>
      </c>
      <c r="T16" t="s">
        <v>1360</v>
      </c>
      <c r="U16" t="s">
        <v>1517</v>
      </c>
      <c r="V16" t="s">
        <v>1517</v>
      </c>
      <c r="W16" t="s">
        <v>1360</v>
      </c>
      <c r="X16" t="s">
        <v>1599</v>
      </c>
      <c r="Y16" t="s">
        <v>1517</v>
      </c>
      <c r="Z16" t="s">
        <v>1360</v>
      </c>
      <c r="AA16" t="s">
        <v>1360</v>
      </c>
      <c r="AB16" t="s">
        <v>1360</v>
      </c>
      <c r="AC16">
        <v>42848</v>
      </c>
      <c r="AD16" t="s">
        <v>1519</v>
      </c>
      <c r="AE16" t="s">
        <v>1360</v>
      </c>
      <c r="AF16" t="s">
        <v>1360</v>
      </c>
      <c r="AG16" t="s">
        <v>1601</v>
      </c>
      <c r="AH16" t="s">
        <v>1360</v>
      </c>
      <c r="AI16" t="s">
        <v>1360</v>
      </c>
      <c r="AJ16" t="s">
        <v>1360</v>
      </c>
      <c r="AK16" t="s">
        <v>1360</v>
      </c>
      <c r="AL16" t="s">
        <v>1360</v>
      </c>
      <c r="AM16" t="s">
        <v>1602</v>
      </c>
      <c r="AN16" t="s">
        <v>1677</v>
      </c>
      <c r="AO16" t="e">
        <f>_xlfn.XLOOKUP(AN16,#REF!,#REF!)</f>
        <v>#REF!</v>
      </c>
      <c r="AP16" t="s">
        <v>1360</v>
      </c>
      <c r="AQ16" t="s">
        <v>1360</v>
      </c>
      <c r="AR16" t="s">
        <v>1360</v>
      </c>
      <c r="AS16" t="s">
        <v>1604</v>
      </c>
      <c r="AT16" t="s">
        <v>1360</v>
      </c>
      <c r="AU16" t="s">
        <v>1360</v>
      </c>
      <c r="AV16" t="s">
        <v>1360</v>
      </c>
      <c r="AW16" t="s">
        <v>1360</v>
      </c>
      <c r="AX16" t="s">
        <v>1360</v>
      </c>
      <c r="AY16" t="s">
        <v>1360</v>
      </c>
      <c r="AZ16" t="s">
        <v>1360</v>
      </c>
      <c r="BA16" t="s">
        <v>1360</v>
      </c>
      <c r="BB16" t="s">
        <v>1360</v>
      </c>
      <c r="BC16" t="s">
        <v>1360</v>
      </c>
      <c r="BD16" t="s">
        <v>1360</v>
      </c>
      <c r="BE16" t="s">
        <v>1360</v>
      </c>
      <c r="BG16" t="s">
        <v>1360</v>
      </c>
      <c r="BH16" t="s">
        <v>1360</v>
      </c>
      <c r="BJ16" t="s">
        <v>1360</v>
      </c>
      <c r="BK16" t="s">
        <v>1360</v>
      </c>
      <c r="BL16" t="s">
        <v>1360</v>
      </c>
      <c r="BM16" t="s">
        <v>1678</v>
      </c>
      <c r="BN16" t="s">
        <v>1360</v>
      </c>
      <c r="BO16" t="s">
        <v>1360</v>
      </c>
      <c r="BP16" t="s">
        <v>1360</v>
      </c>
      <c r="BQ16" t="s">
        <v>1527</v>
      </c>
      <c r="BR16" t="s">
        <v>1528</v>
      </c>
      <c r="BS16" t="s">
        <v>1360</v>
      </c>
      <c r="BT16" t="s">
        <v>1360</v>
      </c>
      <c r="BU16" t="s">
        <v>1360</v>
      </c>
      <c r="BV16" t="s">
        <v>1360</v>
      </c>
      <c r="BW16" t="s">
        <v>1360</v>
      </c>
      <c r="BX16" t="s">
        <v>1360</v>
      </c>
      <c r="BY16" t="s">
        <v>1360</v>
      </c>
      <c r="BZ16" t="s">
        <v>1360</v>
      </c>
      <c r="CA16" t="s">
        <v>1360</v>
      </c>
      <c r="CB16" t="s">
        <v>1360</v>
      </c>
      <c r="CC16" t="s">
        <v>1679</v>
      </c>
      <c r="CD16" t="s">
        <v>1360</v>
      </c>
      <c r="CE16" t="s">
        <v>1360</v>
      </c>
      <c r="CF16" t="s">
        <v>1360</v>
      </c>
      <c r="CG16" t="s">
        <v>1360</v>
      </c>
      <c r="CH16" t="s">
        <v>1517</v>
      </c>
      <c r="CI16" t="s">
        <v>1360</v>
      </c>
      <c r="CJ16" t="s">
        <v>1360</v>
      </c>
      <c r="CK16" t="s">
        <v>1360</v>
      </c>
      <c r="CL16" t="s">
        <v>1360</v>
      </c>
      <c r="CM16" t="s">
        <v>1360</v>
      </c>
      <c r="CN16" t="s">
        <v>1360</v>
      </c>
      <c r="CO16" t="s">
        <v>1360</v>
      </c>
      <c r="CP16" t="s">
        <v>1360</v>
      </c>
      <c r="CR16">
        <v>0</v>
      </c>
      <c r="CS16" t="s">
        <v>1360</v>
      </c>
      <c r="CU16" t="s">
        <v>1360</v>
      </c>
      <c r="CV16" t="s">
        <v>1360</v>
      </c>
      <c r="CW16" t="s">
        <v>1360</v>
      </c>
      <c r="CX16" t="s">
        <v>1360</v>
      </c>
      <c r="CY16" t="s">
        <v>1360</v>
      </c>
      <c r="CZ16" t="s">
        <v>1360</v>
      </c>
      <c r="DA16" t="s">
        <v>1360</v>
      </c>
      <c r="DB16" t="s">
        <v>1360</v>
      </c>
      <c r="DC16" t="s">
        <v>1360</v>
      </c>
      <c r="DD16" t="s">
        <v>1360</v>
      </c>
      <c r="DE16" t="s">
        <v>1360</v>
      </c>
      <c r="DG16" t="s">
        <v>1517</v>
      </c>
      <c r="DH16" t="s">
        <v>1360</v>
      </c>
      <c r="DJ16" t="s">
        <v>1360</v>
      </c>
      <c r="DK16" t="s">
        <v>1517</v>
      </c>
      <c r="DL16" t="s">
        <v>1360</v>
      </c>
      <c r="DM16" t="s">
        <v>1360</v>
      </c>
      <c r="DN16" t="s">
        <v>1360</v>
      </c>
      <c r="DO16" t="s">
        <v>1360</v>
      </c>
      <c r="DP16" t="s">
        <v>1360</v>
      </c>
      <c r="DQ16" t="s">
        <v>1360</v>
      </c>
      <c r="DR16">
        <v>0</v>
      </c>
      <c r="DS16" t="s">
        <v>1360</v>
      </c>
      <c r="DT16" t="s">
        <v>1360</v>
      </c>
      <c r="DU16" t="s">
        <v>1360</v>
      </c>
      <c r="DV16" t="s">
        <v>1360</v>
      </c>
      <c r="DW16" t="s">
        <v>1360</v>
      </c>
      <c r="DX16" t="s">
        <v>1360</v>
      </c>
      <c r="DY16" t="s">
        <v>1360</v>
      </c>
      <c r="DZ16" t="s">
        <v>1360</v>
      </c>
      <c r="EA16" t="s">
        <v>1360</v>
      </c>
      <c r="EB16" t="s">
        <v>1360</v>
      </c>
      <c r="EC16" t="s">
        <v>1360</v>
      </c>
      <c r="ED16" t="s">
        <v>1360</v>
      </c>
      <c r="EE16" t="s">
        <v>1360</v>
      </c>
      <c r="EF16">
        <v>0</v>
      </c>
      <c r="EG16" t="s">
        <v>1360</v>
      </c>
      <c r="EH16" t="s">
        <v>1360</v>
      </c>
    </row>
    <row r="17" spans="1:138" hidden="1">
      <c r="A17" t="s">
        <v>1680</v>
      </c>
      <c r="B17" t="s">
        <v>1508</v>
      </c>
      <c r="C17" t="s">
        <v>1592</v>
      </c>
      <c r="D17" t="s">
        <v>1681</v>
      </c>
      <c r="E17" t="s">
        <v>1360</v>
      </c>
      <c r="F17" t="s">
        <v>1360</v>
      </c>
      <c r="G17" t="s">
        <v>1516</v>
      </c>
      <c r="H17" t="s">
        <v>37</v>
      </c>
      <c r="I17" t="s">
        <v>1360</v>
      </c>
      <c r="J17" t="s">
        <v>1360</v>
      </c>
      <c r="K17" t="s">
        <v>1682</v>
      </c>
      <c r="L17" t="s">
        <v>32</v>
      </c>
      <c r="M17" t="s">
        <v>1681</v>
      </c>
      <c r="N17" t="s">
        <v>1683</v>
      </c>
      <c r="O17" t="s">
        <v>1684</v>
      </c>
      <c r="P17" t="s">
        <v>1592</v>
      </c>
      <c r="Q17" t="s">
        <v>1681</v>
      </c>
      <c r="R17" t="s">
        <v>1516</v>
      </c>
      <c r="S17" t="s">
        <v>1360</v>
      </c>
      <c r="T17" t="s">
        <v>1360</v>
      </c>
      <c r="U17" t="s">
        <v>1517</v>
      </c>
      <c r="V17" t="s">
        <v>1517</v>
      </c>
      <c r="W17" t="s">
        <v>1360</v>
      </c>
      <c r="X17" t="s">
        <v>1599</v>
      </c>
      <c r="Y17" t="s">
        <v>1517</v>
      </c>
      <c r="Z17" t="s">
        <v>1360</v>
      </c>
      <c r="AA17" t="s">
        <v>1360</v>
      </c>
      <c r="AB17" t="s">
        <v>1360</v>
      </c>
      <c r="AC17">
        <v>42848</v>
      </c>
      <c r="AD17" t="s">
        <v>1519</v>
      </c>
      <c r="AE17" t="s">
        <v>1360</v>
      </c>
      <c r="AF17" t="s">
        <v>1360</v>
      </c>
      <c r="AG17" t="s">
        <v>1601</v>
      </c>
      <c r="AH17" t="s">
        <v>1360</v>
      </c>
      <c r="AI17" t="s">
        <v>1360</v>
      </c>
      <c r="AJ17" t="s">
        <v>1360</v>
      </c>
      <c r="AK17" t="s">
        <v>1360</v>
      </c>
      <c r="AL17" t="s">
        <v>1360</v>
      </c>
      <c r="AM17" t="s">
        <v>1602</v>
      </c>
      <c r="AN17" t="s">
        <v>1685</v>
      </c>
      <c r="AO17" t="e">
        <f>_xlfn.XLOOKUP(AN17,#REF!,#REF!)</f>
        <v>#REF!</v>
      </c>
      <c r="AP17" t="s">
        <v>1360</v>
      </c>
      <c r="AQ17" t="s">
        <v>1360</v>
      </c>
      <c r="AR17" t="s">
        <v>1360</v>
      </c>
      <c r="AS17" t="s">
        <v>1604</v>
      </c>
      <c r="AT17" t="s">
        <v>1360</v>
      </c>
      <c r="AU17" t="s">
        <v>1360</v>
      </c>
      <c r="AV17" t="s">
        <v>1360</v>
      </c>
      <c r="AW17" t="s">
        <v>1360</v>
      </c>
      <c r="AX17" t="s">
        <v>1360</v>
      </c>
      <c r="AY17" t="s">
        <v>1360</v>
      </c>
      <c r="AZ17" t="s">
        <v>1360</v>
      </c>
      <c r="BA17" t="s">
        <v>1360</v>
      </c>
      <c r="BB17" t="s">
        <v>1360</v>
      </c>
      <c r="BC17" t="s">
        <v>1360</v>
      </c>
      <c r="BD17" t="s">
        <v>1360</v>
      </c>
      <c r="BE17" t="s">
        <v>1360</v>
      </c>
      <c r="BG17" t="s">
        <v>1360</v>
      </c>
      <c r="BH17" t="s">
        <v>1360</v>
      </c>
      <c r="BJ17" t="s">
        <v>1360</v>
      </c>
      <c r="BK17" t="s">
        <v>1360</v>
      </c>
      <c r="BL17" t="s">
        <v>1360</v>
      </c>
      <c r="BM17" t="s">
        <v>1686</v>
      </c>
      <c r="BN17" t="s">
        <v>1360</v>
      </c>
      <c r="BO17" t="s">
        <v>1360</v>
      </c>
      <c r="BP17" t="s">
        <v>1360</v>
      </c>
      <c r="BQ17" t="s">
        <v>1527</v>
      </c>
      <c r="BR17" t="s">
        <v>1528</v>
      </c>
      <c r="BS17" t="s">
        <v>1360</v>
      </c>
      <c r="BT17" t="s">
        <v>1360</v>
      </c>
      <c r="BU17" t="s">
        <v>1360</v>
      </c>
      <c r="BV17" t="s">
        <v>1360</v>
      </c>
      <c r="BW17" t="s">
        <v>1360</v>
      </c>
      <c r="BX17" t="s">
        <v>1360</v>
      </c>
      <c r="BY17" t="s">
        <v>1360</v>
      </c>
      <c r="BZ17" t="s">
        <v>1360</v>
      </c>
      <c r="CA17" t="s">
        <v>1360</v>
      </c>
      <c r="CB17" t="s">
        <v>1360</v>
      </c>
      <c r="CC17" t="s">
        <v>1687</v>
      </c>
      <c r="CD17" t="s">
        <v>1360</v>
      </c>
      <c r="CE17" t="s">
        <v>1360</v>
      </c>
      <c r="CF17" t="s">
        <v>1360</v>
      </c>
      <c r="CG17" t="s">
        <v>1360</v>
      </c>
      <c r="CH17" t="s">
        <v>1517</v>
      </c>
      <c r="CI17" t="s">
        <v>1360</v>
      </c>
      <c r="CJ17" t="s">
        <v>1360</v>
      </c>
      <c r="CK17" t="s">
        <v>1360</v>
      </c>
      <c r="CL17" t="s">
        <v>1360</v>
      </c>
      <c r="CM17" t="s">
        <v>1360</v>
      </c>
      <c r="CN17" t="s">
        <v>1360</v>
      </c>
      <c r="CO17" t="s">
        <v>1360</v>
      </c>
      <c r="CP17" t="s">
        <v>1360</v>
      </c>
      <c r="CR17">
        <v>0</v>
      </c>
      <c r="CS17" t="s">
        <v>1360</v>
      </c>
      <c r="CU17" t="s">
        <v>1360</v>
      </c>
      <c r="CV17" t="s">
        <v>1360</v>
      </c>
      <c r="CW17" t="s">
        <v>1360</v>
      </c>
      <c r="CX17" t="s">
        <v>1360</v>
      </c>
      <c r="CY17" t="s">
        <v>1360</v>
      </c>
      <c r="CZ17" t="s">
        <v>1360</v>
      </c>
      <c r="DA17" t="s">
        <v>1360</v>
      </c>
      <c r="DB17" t="s">
        <v>1360</v>
      </c>
      <c r="DC17" t="s">
        <v>1360</v>
      </c>
      <c r="DD17" t="s">
        <v>1360</v>
      </c>
      <c r="DE17" t="s">
        <v>1360</v>
      </c>
      <c r="DG17" t="s">
        <v>1517</v>
      </c>
      <c r="DH17" t="s">
        <v>1360</v>
      </c>
      <c r="DJ17" t="s">
        <v>1360</v>
      </c>
      <c r="DK17" t="s">
        <v>1517</v>
      </c>
      <c r="DL17" t="s">
        <v>1360</v>
      </c>
      <c r="DM17" t="s">
        <v>1360</v>
      </c>
      <c r="DN17" t="s">
        <v>1360</v>
      </c>
      <c r="DO17" t="s">
        <v>1360</v>
      </c>
      <c r="DP17" t="s">
        <v>1360</v>
      </c>
      <c r="DQ17" t="s">
        <v>1360</v>
      </c>
      <c r="DR17">
        <v>0</v>
      </c>
      <c r="DS17" t="s">
        <v>1360</v>
      </c>
      <c r="DT17" t="s">
        <v>1360</v>
      </c>
      <c r="DU17" t="s">
        <v>1360</v>
      </c>
      <c r="DV17" t="s">
        <v>1360</v>
      </c>
      <c r="DW17" t="s">
        <v>1360</v>
      </c>
      <c r="DX17" t="s">
        <v>1360</v>
      </c>
      <c r="DY17" t="s">
        <v>1360</v>
      </c>
      <c r="DZ17" t="s">
        <v>1360</v>
      </c>
      <c r="EA17" t="s">
        <v>1360</v>
      </c>
      <c r="EB17" t="s">
        <v>1360</v>
      </c>
      <c r="EC17" t="s">
        <v>1360</v>
      </c>
      <c r="ED17" t="s">
        <v>1360</v>
      </c>
      <c r="EE17" t="s">
        <v>1360</v>
      </c>
      <c r="EF17">
        <v>0</v>
      </c>
      <c r="EG17" t="s">
        <v>1360</v>
      </c>
      <c r="EH17" t="s">
        <v>1360</v>
      </c>
    </row>
    <row r="18" spans="1:138">
      <c r="A18" t="s">
        <v>1688</v>
      </c>
      <c r="B18" t="s">
        <v>1508</v>
      </c>
      <c r="C18" t="s">
        <v>1592</v>
      </c>
      <c r="D18" t="s">
        <v>1360</v>
      </c>
      <c r="E18" t="s">
        <v>1360</v>
      </c>
      <c r="F18" t="s">
        <v>1360</v>
      </c>
      <c r="G18" t="s">
        <v>1689</v>
      </c>
      <c r="H18" t="s">
        <v>1690</v>
      </c>
      <c r="I18" t="s">
        <v>1360</v>
      </c>
      <c r="J18" t="s">
        <v>1360</v>
      </c>
      <c r="K18" t="s">
        <v>1691</v>
      </c>
      <c r="L18" t="s">
        <v>32</v>
      </c>
      <c r="M18" t="s">
        <v>1692</v>
      </c>
      <c r="N18" t="s">
        <v>1693</v>
      </c>
      <c r="O18" t="s">
        <v>1694</v>
      </c>
      <c r="P18" t="s">
        <v>1592</v>
      </c>
      <c r="Q18" t="s">
        <v>1360</v>
      </c>
      <c r="R18" t="s">
        <v>1689</v>
      </c>
      <c r="S18" t="s">
        <v>1360</v>
      </c>
      <c r="T18" t="s">
        <v>1360</v>
      </c>
      <c r="U18" t="s">
        <v>1517</v>
      </c>
      <c r="V18" t="s">
        <v>1517</v>
      </c>
      <c r="W18" t="s">
        <v>1360</v>
      </c>
      <c r="X18" t="s">
        <v>1599</v>
      </c>
      <c r="Y18" t="s">
        <v>1517</v>
      </c>
      <c r="Z18" t="s">
        <v>1360</v>
      </c>
      <c r="AA18" t="s">
        <v>1360</v>
      </c>
      <c r="AB18" t="s">
        <v>1360</v>
      </c>
      <c r="AC18">
        <v>42848</v>
      </c>
      <c r="AD18" t="s">
        <v>1519</v>
      </c>
      <c r="AE18" t="s">
        <v>1360</v>
      </c>
      <c r="AF18" t="s">
        <v>1360</v>
      </c>
      <c r="AG18" t="s">
        <v>1601</v>
      </c>
      <c r="AH18" t="s">
        <v>1360</v>
      </c>
      <c r="AI18" t="s">
        <v>1360</v>
      </c>
      <c r="AJ18" t="s">
        <v>1360</v>
      </c>
      <c r="AK18" t="s">
        <v>1360</v>
      </c>
      <c r="AL18" t="s">
        <v>1360</v>
      </c>
      <c r="AM18" t="s">
        <v>1602</v>
      </c>
      <c r="AN18" t="s">
        <v>1695</v>
      </c>
      <c r="AO18" t="e">
        <f>_xlfn.XLOOKUP(AN18,#REF!,#REF!)</f>
        <v>#REF!</v>
      </c>
      <c r="AP18" t="s">
        <v>1360</v>
      </c>
      <c r="AQ18" t="s">
        <v>1360</v>
      </c>
      <c r="AR18" t="s">
        <v>1360</v>
      </c>
      <c r="AS18" t="s">
        <v>1360</v>
      </c>
      <c r="AT18" t="s">
        <v>1360</v>
      </c>
      <c r="AU18" t="s">
        <v>1360</v>
      </c>
      <c r="AV18" t="s">
        <v>1360</v>
      </c>
      <c r="AW18" t="s">
        <v>1360</v>
      </c>
      <c r="AX18" t="s">
        <v>1360</v>
      </c>
      <c r="AY18" t="s">
        <v>1360</v>
      </c>
      <c r="AZ18" t="s">
        <v>1360</v>
      </c>
      <c r="BA18" t="s">
        <v>1360</v>
      </c>
      <c r="BB18" t="s">
        <v>1360</v>
      </c>
      <c r="BC18" t="s">
        <v>1360</v>
      </c>
      <c r="BD18" t="s">
        <v>1360</v>
      </c>
      <c r="BE18" t="s">
        <v>1360</v>
      </c>
      <c r="BG18" t="s">
        <v>1360</v>
      </c>
      <c r="BH18" t="s">
        <v>1360</v>
      </c>
      <c r="BJ18" t="s">
        <v>1360</v>
      </c>
      <c r="BK18" t="s">
        <v>1360</v>
      </c>
      <c r="BL18" t="s">
        <v>1360</v>
      </c>
      <c r="BM18" t="s">
        <v>1696</v>
      </c>
      <c r="BN18" t="s">
        <v>1360</v>
      </c>
      <c r="BO18" t="s">
        <v>1360</v>
      </c>
      <c r="BP18" t="s">
        <v>1360</v>
      </c>
      <c r="BQ18" t="s">
        <v>1527</v>
      </c>
      <c r="BR18" t="s">
        <v>1697</v>
      </c>
      <c r="BS18" t="s">
        <v>1360</v>
      </c>
      <c r="BT18" t="s">
        <v>1360</v>
      </c>
      <c r="BU18" t="s">
        <v>1360</v>
      </c>
      <c r="BV18" t="s">
        <v>1360</v>
      </c>
      <c r="BW18" t="s">
        <v>1360</v>
      </c>
      <c r="BX18" t="s">
        <v>1360</v>
      </c>
      <c r="BY18" t="s">
        <v>1360</v>
      </c>
      <c r="BZ18" t="s">
        <v>1360</v>
      </c>
      <c r="CA18" t="s">
        <v>1360</v>
      </c>
      <c r="CB18" t="s">
        <v>1360</v>
      </c>
      <c r="CC18" t="s">
        <v>1698</v>
      </c>
      <c r="CD18" t="s">
        <v>1360</v>
      </c>
      <c r="CE18" t="s">
        <v>1360</v>
      </c>
      <c r="CF18" t="s">
        <v>1360</v>
      </c>
      <c r="CG18" t="s">
        <v>1360</v>
      </c>
      <c r="CH18" t="s">
        <v>1517</v>
      </c>
      <c r="CI18" t="s">
        <v>1360</v>
      </c>
      <c r="CJ18" t="s">
        <v>1360</v>
      </c>
      <c r="CK18" t="s">
        <v>1360</v>
      </c>
      <c r="CL18" t="s">
        <v>1360</v>
      </c>
      <c r="CM18" t="s">
        <v>1360</v>
      </c>
      <c r="CN18" t="s">
        <v>1360</v>
      </c>
      <c r="CO18" t="s">
        <v>1360</v>
      </c>
      <c r="CP18" t="s">
        <v>1360</v>
      </c>
      <c r="CR18">
        <v>0</v>
      </c>
      <c r="CS18" t="s">
        <v>1360</v>
      </c>
      <c r="CU18" t="s">
        <v>1360</v>
      </c>
      <c r="CV18" t="s">
        <v>1360</v>
      </c>
      <c r="CW18" t="s">
        <v>1360</v>
      </c>
      <c r="CX18" t="s">
        <v>1360</v>
      </c>
      <c r="CY18" t="s">
        <v>1360</v>
      </c>
      <c r="CZ18" t="s">
        <v>1360</v>
      </c>
      <c r="DA18" t="s">
        <v>1360</v>
      </c>
      <c r="DB18" t="s">
        <v>1360</v>
      </c>
      <c r="DC18" t="s">
        <v>1360</v>
      </c>
      <c r="DD18" t="s">
        <v>1360</v>
      </c>
      <c r="DE18" t="s">
        <v>1360</v>
      </c>
      <c r="DG18" t="s">
        <v>1517</v>
      </c>
      <c r="DH18" t="s">
        <v>1360</v>
      </c>
      <c r="DJ18" t="s">
        <v>1360</v>
      </c>
      <c r="DK18" t="s">
        <v>1517</v>
      </c>
      <c r="DL18" t="s">
        <v>1360</v>
      </c>
      <c r="DM18" t="s">
        <v>1360</v>
      </c>
      <c r="DN18" t="s">
        <v>1360</v>
      </c>
      <c r="DO18" t="s">
        <v>1360</v>
      </c>
      <c r="DP18" t="s">
        <v>1360</v>
      </c>
      <c r="DQ18" t="s">
        <v>1360</v>
      </c>
      <c r="DR18">
        <v>0</v>
      </c>
      <c r="DS18" t="s">
        <v>1360</v>
      </c>
      <c r="DT18" t="s">
        <v>1360</v>
      </c>
      <c r="DU18" t="s">
        <v>1360</v>
      </c>
      <c r="DV18" t="s">
        <v>1360</v>
      </c>
      <c r="DW18" t="s">
        <v>1360</v>
      </c>
      <c r="DX18" t="s">
        <v>1360</v>
      </c>
      <c r="DY18" t="s">
        <v>1360</v>
      </c>
      <c r="DZ18" t="s">
        <v>1360</v>
      </c>
      <c r="EA18" t="s">
        <v>1360</v>
      </c>
      <c r="EB18" t="s">
        <v>1360</v>
      </c>
      <c r="EC18" t="s">
        <v>1360</v>
      </c>
      <c r="ED18" t="s">
        <v>1360</v>
      </c>
      <c r="EE18" t="s">
        <v>1360</v>
      </c>
      <c r="EF18">
        <v>0</v>
      </c>
      <c r="EG18" t="s">
        <v>1360</v>
      </c>
      <c r="EH18" t="s">
        <v>1360</v>
      </c>
    </row>
    <row r="19" spans="1:138" hidden="1">
      <c r="A19" t="s">
        <v>1699</v>
      </c>
      <c r="B19" t="s">
        <v>1508</v>
      </c>
      <c r="C19" t="s">
        <v>1592</v>
      </c>
      <c r="D19" t="s">
        <v>1700</v>
      </c>
      <c r="E19" t="s">
        <v>1360</v>
      </c>
      <c r="F19" t="s">
        <v>1360</v>
      </c>
      <c r="G19" t="s">
        <v>1689</v>
      </c>
      <c r="H19" t="s">
        <v>1701</v>
      </c>
      <c r="I19" t="s">
        <v>1360</v>
      </c>
      <c r="J19" t="s">
        <v>1360</v>
      </c>
      <c r="K19" t="s">
        <v>1702</v>
      </c>
      <c r="L19" t="s">
        <v>32</v>
      </c>
      <c r="M19" t="s">
        <v>1703</v>
      </c>
      <c r="N19" t="s">
        <v>1704</v>
      </c>
      <c r="O19" t="s">
        <v>1705</v>
      </c>
      <c r="P19" t="s">
        <v>1592</v>
      </c>
      <c r="Q19" t="s">
        <v>1700</v>
      </c>
      <c r="R19" t="s">
        <v>1689</v>
      </c>
      <c r="S19" t="s">
        <v>1360</v>
      </c>
      <c r="T19" t="s">
        <v>1360</v>
      </c>
      <c r="U19" t="s">
        <v>1517</v>
      </c>
      <c r="V19" t="s">
        <v>1517</v>
      </c>
      <c r="W19" t="s">
        <v>1360</v>
      </c>
      <c r="X19" t="s">
        <v>1360</v>
      </c>
      <c r="Y19" t="s">
        <v>1517</v>
      </c>
      <c r="Z19" t="s">
        <v>1360</v>
      </c>
      <c r="AA19" t="s">
        <v>1360</v>
      </c>
      <c r="AB19" t="s">
        <v>1360</v>
      </c>
      <c r="AC19">
        <v>43741</v>
      </c>
      <c r="AD19" t="s">
        <v>1539</v>
      </c>
      <c r="AE19" t="s">
        <v>1360</v>
      </c>
      <c r="AF19" t="s">
        <v>1360</v>
      </c>
      <c r="AG19" t="s">
        <v>1601</v>
      </c>
      <c r="AH19" t="s">
        <v>1360</v>
      </c>
      <c r="AI19" t="s">
        <v>1360</v>
      </c>
      <c r="AJ19" t="s">
        <v>1360</v>
      </c>
      <c r="AK19" t="s">
        <v>1360</v>
      </c>
      <c r="AL19" t="s">
        <v>1360</v>
      </c>
      <c r="AM19" t="s">
        <v>1602</v>
      </c>
      <c r="AN19" t="s">
        <v>1706</v>
      </c>
      <c r="AO19" t="e">
        <f>_xlfn.XLOOKUP(AN19,#REF!,#REF!)</f>
        <v>#REF!</v>
      </c>
      <c r="AP19" t="s">
        <v>1360</v>
      </c>
      <c r="AQ19" t="s">
        <v>1360</v>
      </c>
      <c r="AR19" t="s">
        <v>1360</v>
      </c>
      <c r="AS19" t="s">
        <v>1604</v>
      </c>
      <c r="AT19" t="s">
        <v>1360</v>
      </c>
      <c r="AU19" t="s">
        <v>1360</v>
      </c>
      <c r="AV19" t="s">
        <v>1360</v>
      </c>
      <c r="AW19" t="s">
        <v>1360</v>
      </c>
      <c r="AX19" t="s">
        <v>1360</v>
      </c>
      <c r="AY19" t="s">
        <v>1360</v>
      </c>
      <c r="AZ19" t="s">
        <v>1360</v>
      </c>
      <c r="BA19" t="s">
        <v>1360</v>
      </c>
      <c r="BB19" t="s">
        <v>1360</v>
      </c>
      <c r="BC19" t="s">
        <v>1360</v>
      </c>
      <c r="BD19" t="s">
        <v>1360</v>
      </c>
      <c r="BE19" t="s">
        <v>1360</v>
      </c>
      <c r="BG19" t="s">
        <v>1360</v>
      </c>
      <c r="BH19" t="s">
        <v>1360</v>
      </c>
      <c r="BJ19" t="s">
        <v>1360</v>
      </c>
      <c r="BK19" t="s">
        <v>1360</v>
      </c>
      <c r="BL19" t="s">
        <v>1360</v>
      </c>
      <c r="BM19" t="s">
        <v>1707</v>
      </c>
      <c r="BN19" t="s">
        <v>1360</v>
      </c>
      <c r="BO19" t="s">
        <v>1360</v>
      </c>
      <c r="BP19" t="s">
        <v>1360</v>
      </c>
      <c r="BQ19" t="s">
        <v>1527</v>
      </c>
      <c r="BR19" t="s">
        <v>1697</v>
      </c>
      <c r="BS19" t="s">
        <v>1360</v>
      </c>
      <c r="BT19" t="s">
        <v>1360</v>
      </c>
      <c r="BU19" t="s">
        <v>1360</v>
      </c>
      <c r="BV19" t="s">
        <v>1360</v>
      </c>
      <c r="BW19" t="s">
        <v>1360</v>
      </c>
      <c r="BX19" t="s">
        <v>1360</v>
      </c>
      <c r="BY19" t="s">
        <v>1360</v>
      </c>
      <c r="BZ19" t="s">
        <v>1360</v>
      </c>
      <c r="CA19" t="s">
        <v>1360</v>
      </c>
      <c r="CB19" t="s">
        <v>1360</v>
      </c>
      <c r="CC19" t="s">
        <v>1708</v>
      </c>
      <c r="CD19" t="s">
        <v>1360</v>
      </c>
      <c r="CE19" t="s">
        <v>1360</v>
      </c>
      <c r="CF19" t="s">
        <v>1360</v>
      </c>
      <c r="CG19" t="s">
        <v>1360</v>
      </c>
      <c r="CH19" t="s">
        <v>1517</v>
      </c>
      <c r="CI19" t="s">
        <v>1360</v>
      </c>
      <c r="CJ19" t="s">
        <v>1360</v>
      </c>
      <c r="CK19" t="s">
        <v>1360</v>
      </c>
      <c r="CL19" t="s">
        <v>1360</v>
      </c>
      <c r="CM19" t="s">
        <v>1360</v>
      </c>
      <c r="CN19" t="s">
        <v>1360</v>
      </c>
      <c r="CO19" t="s">
        <v>1360</v>
      </c>
      <c r="CP19" t="s">
        <v>1360</v>
      </c>
      <c r="CR19">
        <v>0</v>
      </c>
      <c r="CS19" t="s">
        <v>1360</v>
      </c>
      <c r="CU19" t="s">
        <v>1360</v>
      </c>
      <c r="CV19" t="s">
        <v>1360</v>
      </c>
      <c r="CW19" t="s">
        <v>1360</v>
      </c>
      <c r="CX19" t="s">
        <v>1360</v>
      </c>
      <c r="CY19" t="s">
        <v>1360</v>
      </c>
      <c r="CZ19" t="s">
        <v>1360</v>
      </c>
      <c r="DA19" t="s">
        <v>1360</v>
      </c>
      <c r="DB19" t="s">
        <v>1360</v>
      </c>
      <c r="DC19" t="s">
        <v>1360</v>
      </c>
      <c r="DD19" t="s">
        <v>1360</v>
      </c>
      <c r="DE19" t="s">
        <v>1360</v>
      </c>
      <c r="DG19" t="s">
        <v>1517</v>
      </c>
      <c r="DH19" t="s">
        <v>1360</v>
      </c>
      <c r="DJ19" t="s">
        <v>1360</v>
      </c>
      <c r="DK19" t="s">
        <v>1517</v>
      </c>
      <c r="DL19" t="s">
        <v>1360</v>
      </c>
      <c r="DM19" t="s">
        <v>1360</v>
      </c>
      <c r="DN19" t="s">
        <v>1360</v>
      </c>
      <c r="DO19" t="s">
        <v>1360</v>
      </c>
      <c r="DP19" t="s">
        <v>1360</v>
      </c>
      <c r="DQ19" t="s">
        <v>1360</v>
      </c>
      <c r="DR19">
        <v>0</v>
      </c>
      <c r="DS19" t="s">
        <v>1360</v>
      </c>
      <c r="DT19" t="s">
        <v>1360</v>
      </c>
      <c r="DU19" t="s">
        <v>1360</v>
      </c>
      <c r="DV19" t="s">
        <v>1360</v>
      </c>
      <c r="DW19" t="s">
        <v>1360</v>
      </c>
      <c r="DX19" t="s">
        <v>1360</v>
      </c>
      <c r="DY19" t="s">
        <v>1360</v>
      </c>
      <c r="DZ19" t="s">
        <v>1360</v>
      </c>
      <c r="EA19" t="s">
        <v>1360</v>
      </c>
      <c r="EB19" t="s">
        <v>1360</v>
      </c>
      <c r="EC19" t="s">
        <v>1360</v>
      </c>
      <c r="ED19" t="s">
        <v>1360</v>
      </c>
      <c r="EE19" t="s">
        <v>1360</v>
      </c>
      <c r="EF19">
        <v>0</v>
      </c>
      <c r="EG19" t="s">
        <v>1360</v>
      </c>
      <c r="EH19" t="s">
        <v>1360</v>
      </c>
    </row>
    <row r="20" spans="1:138" hidden="1">
      <c r="A20" t="s">
        <v>1709</v>
      </c>
      <c r="B20" t="s">
        <v>1508</v>
      </c>
      <c r="C20" t="s">
        <v>1592</v>
      </c>
      <c r="D20" t="s">
        <v>78</v>
      </c>
      <c r="E20" t="s">
        <v>1360</v>
      </c>
      <c r="F20" t="s">
        <v>1360</v>
      </c>
      <c r="G20" t="s">
        <v>78</v>
      </c>
      <c r="H20" t="s">
        <v>1710</v>
      </c>
      <c r="I20" t="s">
        <v>1360</v>
      </c>
      <c r="J20" t="s">
        <v>1360</v>
      </c>
      <c r="K20" t="s">
        <v>1711</v>
      </c>
      <c r="L20" t="s">
        <v>69</v>
      </c>
      <c r="M20" t="s">
        <v>1712</v>
      </c>
      <c r="N20" t="s">
        <v>1713</v>
      </c>
      <c r="O20" t="s">
        <v>1714</v>
      </c>
      <c r="P20" t="s">
        <v>1592</v>
      </c>
      <c r="Q20" t="s">
        <v>1712</v>
      </c>
      <c r="R20" t="s">
        <v>1712</v>
      </c>
      <c r="S20" t="s">
        <v>1360</v>
      </c>
      <c r="T20" t="s">
        <v>1360</v>
      </c>
      <c r="U20" t="s">
        <v>1517</v>
      </c>
      <c r="V20" t="s">
        <v>1517</v>
      </c>
      <c r="W20" t="s">
        <v>1360</v>
      </c>
      <c r="X20" t="s">
        <v>1599</v>
      </c>
      <c r="Y20" t="s">
        <v>1517</v>
      </c>
      <c r="Z20" t="s">
        <v>1360</v>
      </c>
      <c r="AA20" t="s">
        <v>1360</v>
      </c>
      <c r="AB20" t="s">
        <v>1360</v>
      </c>
      <c r="AC20">
        <v>42848</v>
      </c>
      <c r="AD20" t="s">
        <v>1519</v>
      </c>
      <c r="AE20" t="s">
        <v>1360</v>
      </c>
      <c r="AF20" t="s">
        <v>1360</v>
      </c>
      <c r="AG20" t="s">
        <v>1601</v>
      </c>
      <c r="AH20" t="s">
        <v>1360</v>
      </c>
      <c r="AI20" t="s">
        <v>1360</v>
      </c>
      <c r="AJ20" t="s">
        <v>1360</v>
      </c>
      <c r="AK20" t="s">
        <v>1360</v>
      </c>
      <c r="AL20" t="s">
        <v>1360</v>
      </c>
      <c r="AM20" t="s">
        <v>1602</v>
      </c>
      <c r="AN20" t="s">
        <v>79</v>
      </c>
      <c r="AO20" t="e">
        <f>_xlfn.XLOOKUP(AN20,#REF!,#REF!)</f>
        <v>#REF!</v>
      </c>
      <c r="AP20" t="s">
        <v>1360</v>
      </c>
      <c r="AQ20" t="s">
        <v>1360</v>
      </c>
      <c r="AR20" t="s">
        <v>1360</v>
      </c>
      <c r="AS20" t="s">
        <v>1715</v>
      </c>
      <c r="AT20" t="s">
        <v>1360</v>
      </c>
      <c r="AU20" t="s">
        <v>1360</v>
      </c>
      <c r="AV20" t="s">
        <v>1360</v>
      </c>
      <c r="AW20" t="s">
        <v>1360</v>
      </c>
      <c r="AX20" t="s">
        <v>1360</v>
      </c>
      <c r="AY20" t="s">
        <v>1360</v>
      </c>
      <c r="AZ20" t="s">
        <v>1360</v>
      </c>
      <c r="BA20" t="s">
        <v>1360</v>
      </c>
      <c r="BB20" t="s">
        <v>1360</v>
      </c>
      <c r="BC20" t="s">
        <v>1360</v>
      </c>
      <c r="BD20" t="s">
        <v>1360</v>
      </c>
      <c r="BE20" t="s">
        <v>1360</v>
      </c>
      <c r="BG20" t="s">
        <v>1360</v>
      </c>
      <c r="BH20" t="s">
        <v>1360</v>
      </c>
      <c r="BJ20" t="s">
        <v>1360</v>
      </c>
      <c r="BK20" t="s">
        <v>1360</v>
      </c>
      <c r="BL20" t="s">
        <v>1360</v>
      </c>
      <c r="BM20" t="s">
        <v>1716</v>
      </c>
      <c r="BN20" t="s">
        <v>1360</v>
      </c>
      <c r="BO20" t="s">
        <v>1360</v>
      </c>
      <c r="BP20" t="s">
        <v>1360</v>
      </c>
      <c r="BQ20" t="s">
        <v>1527</v>
      </c>
      <c r="BR20" t="s">
        <v>1717</v>
      </c>
      <c r="BS20" t="s">
        <v>1360</v>
      </c>
      <c r="BT20" t="s">
        <v>1360</v>
      </c>
      <c r="BU20" t="s">
        <v>1360</v>
      </c>
      <c r="BV20" t="s">
        <v>1360</v>
      </c>
      <c r="BW20" t="s">
        <v>1360</v>
      </c>
      <c r="BX20" t="s">
        <v>1360</v>
      </c>
      <c r="BY20" t="s">
        <v>1360</v>
      </c>
      <c r="BZ20" t="s">
        <v>1360</v>
      </c>
      <c r="CA20" t="s">
        <v>1360</v>
      </c>
      <c r="CB20" t="s">
        <v>1360</v>
      </c>
      <c r="CC20" t="s">
        <v>1718</v>
      </c>
      <c r="CD20" t="s">
        <v>1360</v>
      </c>
      <c r="CE20" t="s">
        <v>1360</v>
      </c>
      <c r="CF20" t="s">
        <v>1360</v>
      </c>
      <c r="CG20" t="s">
        <v>1360</v>
      </c>
      <c r="CH20" t="s">
        <v>1517</v>
      </c>
      <c r="CI20" t="s">
        <v>1360</v>
      </c>
      <c r="CJ20" t="s">
        <v>1360</v>
      </c>
      <c r="CK20" t="s">
        <v>1360</v>
      </c>
      <c r="CL20" t="s">
        <v>1360</v>
      </c>
      <c r="CM20" t="s">
        <v>1360</v>
      </c>
      <c r="CN20" t="s">
        <v>1360</v>
      </c>
      <c r="CO20" t="s">
        <v>1360</v>
      </c>
      <c r="CP20" t="s">
        <v>1360</v>
      </c>
      <c r="CR20">
        <v>0</v>
      </c>
      <c r="CS20" t="s">
        <v>1360</v>
      </c>
      <c r="CU20" t="s">
        <v>1360</v>
      </c>
      <c r="CV20" t="s">
        <v>1360</v>
      </c>
      <c r="CW20" t="s">
        <v>1360</v>
      </c>
      <c r="CX20" t="s">
        <v>1360</v>
      </c>
      <c r="CY20" t="s">
        <v>1360</v>
      </c>
      <c r="CZ20" t="s">
        <v>1360</v>
      </c>
      <c r="DA20" t="s">
        <v>1360</v>
      </c>
      <c r="DB20" t="s">
        <v>1360</v>
      </c>
      <c r="DC20" t="s">
        <v>1360</v>
      </c>
      <c r="DD20" t="s">
        <v>1360</v>
      </c>
      <c r="DE20" t="s">
        <v>1360</v>
      </c>
      <c r="DG20" t="s">
        <v>1517</v>
      </c>
      <c r="DH20" t="s">
        <v>1360</v>
      </c>
      <c r="DJ20" t="s">
        <v>1360</v>
      </c>
      <c r="DK20" t="s">
        <v>1517</v>
      </c>
      <c r="DL20" t="s">
        <v>1360</v>
      </c>
      <c r="DM20" t="s">
        <v>1360</v>
      </c>
      <c r="DN20" t="s">
        <v>1360</v>
      </c>
      <c r="DO20" t="s">
        <v>1360</v>
      </c>
      <c r="DP20" t="s">
        <v>1360</v>
      </c>
      <c r="DQ20" t="s">
        <v>1360</v>
      </c>
      <c r="DR20">
        <v>0</v>
      </c>
      <c r="DS20" t="s">
        <v>1360</v>
      </c>
      <c r="DT20" t="s">
        <v>1360</v>
      </c>
      <c r="DU20" t="s">
        <v>1360</v>
      </c>
      <c r="DV20" t="s">
        <v>1360</v>
      </c>
      <c r="DW20" t="s">
        <v>1360</v>
      </c>
      <c r="DX20" t="s">
        <v>1360</v>
      </c>
      <c r="DY20" t="s">
        <v>1360</v>
      </c>
      <c r="DZ20" t="s">
        <v>1360</v>
      </c>
      <c r="EA20" t="s">
        <v>1360</v>
      </c>
      <c r="EB20" t="s">
        <v>1360</v>
      </c>
      <c r="EC20" t="s">
        <v>1360</v>
      </c>
      <c r="ED20" t="s">
        <v>1360</v>
      </c>
      <c r="EE20" t="s">
        <v>1360</v>
      </c>
      <c r="EF20">
        <v>0</v>
      </c>
      <c r="EG20" t="s">
        <v>1360</v>
      </c>
      <c r="EH20" t="s">
        <v>1360</v>
      </c>
    </row>
    <row r="21" spans="1:138" hidden="1">
      <c r="A21" t="s">
        <v>1719</v>
      </c>
      <c r="B21" t="s">
        <v>1508</v>
      </c>
      <c r="C21" t="s">
        <v>1592</v>
      </c>
      <c r="D21" t="s">
        <v>78</v>
      </c>
      <c r="E21" t="s">
        <v>1360</v>
      </c>
      <c r="F21" t="s">
        <v>1360</v>
      </c>
      <c r="G21" t="s">
        <v>78</v>
      </c>
      <c r="H21" t="s">
        <v>1710</v>
      </c>
      <c r="I21" t="s">
        <v>1360</v>
      </c>
      <c r="J21" t="s">
        <v>1360</v>
      </c>
      <c r="K21" t="s">
        <v>1711</v>
      </c>
      <c r="L21" t="s">
        <v>69</v>
      </c>
      <c r="M21" t="s">
        <v>1712</v>
      </c>
      <c r="N21" t="s">
        <v>1713</v>
      </c>
      <c r="O21" t="s">
        <v>1720</v>
      </c>
      <c r="P21" t="s">
        <v>1592</v>
      </c>
      <c r="Q21" t="s">
        <v>1712</v>
      </c>
      <c r="R21" t="s">
        <v>1712</v>
      </c>
      <c r="S21" t="s">
        <v>1360</v>
      </c>
      <c r="T21" t="s">
        <v>1360</v>
      </c>
      <c r="U21" t="s">
        <v>1517</v>
      </c>
      <c r="V21" t="s">
        <v>1517</v>
      </c>
      <c r="W21" t="s">
        <v>1360</v>
      </c>
      <c r="X21" t="s">
        <v>1599</v>
      </c>
      <c r="Y21" t="s">
        <v>1517</v>
      </c>
      <c r="Z21" t="s">
        <v>1360</v>
      </c>
      <c r="AA21" t="s">
        <v>1360</v>
      </c>
      <c r="AB21" t="s">
        <v>1360</v>
      </c>
      <c r="AC21">
        <v>45308</v>
      </c>
      <c r="AD21" t="s">
        <v>1539</v>
      </c>
      <c r="AE21" t="s">
        <v>1360</v>
      </c>
      <c r="AF21" t="s">
        <v>1360</v>
      </c>
      <c r="AG21" t="s">
        <v>1601</v>
      </c>
      <c r="AH21" t="s">
        <v>1360</v>
      </c>
      <c r="AI21" t="s">
        <v>1360</v>
      </c>
      <c r="AJ21" t="s">
        <v>1360</v>
      </c>
      <c r="AK21" t="s">
        <v>1360</v>
      </c>
      <c r="AL21" t="s">
        <v>1360</v>
      </c>
      <c r="AM21" t="s">
        <v>1602</v>
      </c>
      <c r="AN21" t="s">
        <v>79</v>
      </c>
      <c r="AO21" t="e">
        <f>_xlfn.XLOOKUP(AN21,#REF!,#REF!)</f>
        <v>#REF!</v>
      </c>
      <c r="AP21" t="s">
        <v>1360</v>
      </c>
      <c r="AQ21" t="s">
        <v>1360</v>
      </c>
      <c r="AR21" t="s">
        <v>1360</v>
      </c>
      <c r="AS21" t="s">
        <v>1715</v>
      </c>
      <c r="AT21" t="s">
        <v>1360</v>
      </c>
      <c r="AU21" t="s">
        <v>1360</v>
      </c>
      <c r="AV21" t="s">
        <v>1360</v>
      </c>
      <c r="AW21" t="s">
        <v>1360</v>
      </c>
      <c r="AX21" t="s">
        <v>1360</v>
      </c>
      <c r="AY21" t="s">
        <v>1360</v>
      </c>
      <c r="AZ21" t="s">
        <v>1360</v>
      </c>
      <c r="BA21" t="s">
        <v>1360</v>
      </c>
      <c r="BB21" t="s">
        <v>1360</v>
      </c>
      <c r="BC21" t="s">
        <v>1360</v>
      </c>
      <c r="BD21" t="s">
        <v>1360</v>
      </c>
      <c r="BE21" t="s">
        <v>1360</v>
      </c>
      <c r="BG21" t="s">
        <v>1360</v>
      </c>
      <c r="BH21" t="s">
        <v>1360</v>
      </c>
      <c r="BJ21" t="s">
        <v>1360</v>
      </c>
      <c r="BK21" t="s">
        <v>1360</v>
      </c>
      <c r="BL21" t="s">
        <v>1360</v>
      </c>
      <c r="BM21" t="s">
        <v>1360</v>
      </c>
      <c r="BN21" t="s">
        <v>1360</v>
      </c>
      <c r="BO21" t="s">
        <v>1360</v>
      </c>
      <c r="BP21" t="s">
        <v>1360</v>
      </c>
      <c r="BQ21" t="s">
        <v>1527</v>
      </c>
      <c r="BR21" t="s">
        <v>1717</v>
      </c>
      <c r="BS21" t="s">
        <v>1360</v>
      </c>
      <c r="BT21" t="s">
        <v>1360</v>
      </c>
      <c r="BU21" t="s">
        <v>1360</v>
      </c>
      <c r="BV21" t="s">
        <v>1360</v>
      </c>
      <c r="BW21" t="s">
        <v>1360</v>
      </c>
      <c r="BX21" t="s">
        <v>1360</v>
      </c>
      <c r="BY21" t="s">
        <v>1360</v>
      </c>
      <c r="BZ21" t="s">
        <v>1360</v>
      </c>
      <c r="CA21" t="s">
        <v>1360</v>
      </c>
      <c r="CB21" t="s">
        <v>1360</v>
      </c>
      <c r="CC21" t="s">
        <v>1718</v>
      </c>
      <c r="CD21" t="s">
        <v>1360</v>
      </c>
      <c r="CE21" t="s">
        <v>1360</v>
      </c>
      <c r="CF21" t="s">
        <v>1360</v>
      </c>
      <c r="CG21" t="s">
        <v>1360</v>
      </c>
      <c r="CH21" t="s">
        <v>1517</v>
      </c>
      <c r="CI21" t="s">
        <v>1360</v>
      </c>
      <c r="CJ21" t="s">
        <v>1360</v>
      </c>
      <c r="CK21" t="s">
        <v>1360</v>
      </c>
      <c r="CL21" t="s">
        <v>1360</v>
      </c>
      <c r="CM21" t="s">
        <v>1360</v>
      </c>
      <c r="CN21" t="s">
        <v>1360</v>
      </c>
      <c r="CO21" t="s">
        <v>1360</v>
      </c>
      <c r="CP21" t="s">
        <v>1360</v>
      </c>
      <c r="CR21">
        <v>0</v>
      </c>
      <c r="CS21" t="s">
        <v>1360</v>
      </c>
      <c r="CU21" t="s">
        <v>1360</v>
      </c>
      <c r="CV21" t="s">
        <v>1360</v>
      </c>
      <c r="CW21" t="s">
        <v>1360</v>
      </c>
      <c r="CX21" t="s">
        <v>1360</v>
      </c>
      <c r="CY21" t="s">
        <v>1360</v>
      </c>
      <c r="CZ21" t="s">
        <v>1360</v>
      </c>
      <c r="DA21" t="s">
        <v>1360</v>
      </c>
      <c r="DB21" t="s">
        <v>1360</v>
      </c>
      <c r="DC21" t="s">
        <v>1360</v>
      </c>
      <c r="DD21" t="s">
        <v>1360</v>
      </c>
      <c r="DE21" t="s">
        <v>1360</v>
      </c>
      <c r="DG21" t="s">
        <v>1517</v>
      </c>
      <c r="DH21" t="s">
        <v>1360</v>
      </c>
      <c r="DJ21" t="s">
        <v>1360</v>
      </c>
      <c r="DK21" t="s">
        <v>1517</v>
      </c>
      <c r="DL21" t="s">
        <v>1360</v>
      </c>
      <c r="DM21" t="s">
        <v>1360</v>
      </c>
      <c r="DN21" t="s">
        <v>1360</v>
      </c>
      <c r="DO21" t="s">
        <v>1360</v>
      </c>
      <c r="DP21" t="s">
        <v>1360</v>
      </c>
      <c r="DQ21" t="s">
        <v>1360</v>
      </c>
      <c r="DR21">
        <v>0</v>
      </c>
      <c r="DS21" t="s">
        <v>1360</v>
      </c>
      <c r="DT21" t="s">
        <v>1360</v>
      </c>
      <c r="DU21" t="s">
        <v>1360</v>
      </c>
      <c r="DV21" t="s">
        <v>1360</v>
      </c>
      <c r="DW21" t="s">
        <v>1360</v>
      </c>
      <c r="DX21" t="s">
        <v>1360</v>
      </c>
      <c r="DY21" t="s">
        <v>1360</v>
      </c>
      <c r="DZ21" t="s">
        <v>1360</v>
      </c>
      <c r="EA21" t="s">
        <v>1360</v>
      </c>
      <c r="EB21" t="s">
        <v>1360</v>
      </c>
      <c r="EC21" t="s">
        <v>1360</v>
      </c>
      <c r="ED21" t="s">
        <v>1360</v>
      </c>
      <c r="EE21" t="s">
        <v>1360</v>
      </c>
      <c r="EF21">
        <v>0</v>
      </c>
      <c r="EG21" t="s">
        <v>1360</v>
      </c>
      <c r="EH21" t="s">
        <v>1360</v>
      </c>
    </row>
    <row r="22" spans="1:138" hidden="1">
      <c r="A22" t="s">
        <v>1721</v>
      </c>
      <c r="B22" t="s">
        <v>1508</v>
      </c>
      <c r="C22" t="s">
        <v>1592</v>
      </c>
      <c r="D22" t="s">
        <v>1722</v>
      </c>
      <c r="E22" t="s">
        <v>1360</v>
      </c>
      <c r="F22" t="s">
        <v>1360</v>
      </c>
      <c r="G22" t="s">
        <v>1723</v>
      </c>
      <c r="H22" t="s">
        <v>1722</v>
      </c>
      <c r="I22" t="s">
        <v>1360</v>
      </c>
      <c r="J22" t="s">
        <v>1360</v>
      </c>
      <c r="K22" t="s">
        <v>1724</v>
      </c>
      <c r="L22" t="s">
        <v>69</v>
      </c>
      <c r="M22" t="s">
        <v>1725</v>
      </c>
      <c r="N22" t="s">
        <v>1726</v>
      </c>
      <c r="O22" t="s">
        <v>1727</v>
      </c>
      <c r="P22" t="s">
        <v>1592</v>
      </c>
      <c r="Q22" t="s">
        <v>1722</v>
      </c>
      <c r="R22" t="s">
        <v>1723</v>
      </c>
      <c r="S22" t="s">
        <v>1360</v>
      </c>
      <c r="T22" t="s">
        <v>1360</v>
      </c>
      <c r="U22" t="s">
        <v>1517</v>
      </c>
      <c r="V22" t="s">
        <v>1517</v>
      </c>
      <c r="W22" t="s">
        <v>1360</v>
      </c>
      <c r="X22" t="s">
        <v>1599</v>
      </c>
      <c r="Y22" t="s">
        <v>1517</v>
      </c>
      <c r="Z22" t="s">
        <v>1360</v>
      </c>
      <c r="AA22" t="s">
        <v>1360</v>
      </c>
      <c r="AB22" t="s">
        <v>1360</v>
      </c>
      <c r="AC22">
        <v>42848</v>
      </c>
      <c r="AD22" t="s">
        <v>1519</v>
      </c>
      <c r="AE22" t="s">
        <v>1360</v>
      </c>
      <c r="AF22" t="s">
        <v>1360</v>
      </c>
      <c r="AG22" t="s">
        <v>1601</v>
      </c>
      <c r="AH22" t="s">
        <v>1360</v>
      </c>
      <c r="AI22" t="s">
        <v>1360</v>
      </c>
      <c r="AJ22" t="s">
        <v>1360</v>
      </c>
      <c r="AK22" t="s">
        <v>1360</v>
      </c>
      <c r="AL22" t="s">
        <v>1360</v>
      </c>
      <c r="AM22" t="s">
        <v>1602</v>
      </c>
      <c r="AN22" t="s">
        <v>86</v>
      </c>
      <c r="AO22" t="e">
        <f>_xlfn.XLOOKUP(AN22,#REF!,#REF!)</f>
        <v>#REF!</v>
      </c>
      <c r="AP22" t="s">
        <v>1360</v>
      </c>
      <c r="AQ22" t="s">
        <v>1360</v>
      </c>
      <c r="AR22" t="s">
        <v>1360</v>
      </c>
      <c r="AS22" t="s">
        <v>1604</v>
      </c>
      <c r="AT22" t="s">
        <v>1360</v>
      </c>
      <c r="AU22" t="s">
        <v>1360</v>
      </c>
      <c r="AV22" t="s">
        <v>1360</v>
      </c>
      <c r="AW22" t="s">
        <v>1360</v>
      </c>
      <c r="AX22" t="s">
        <v>1360</v>
      </c>
      <c r="AY22" t="s">
        <v>1360</v>
      </c>
      <c r="AZ22" t="s">
        <v>1360</v>
      </c>
      <c r="BA22" t="s">
        <v>1360</v>
      </c>
      <c r="BB22" t="s">
        <v>1360</v>
      </c>
      <c r="BC22" t="s">
        <v>1360</v>
      </c>
      <c r="BD22" t="s">
        <v>1360</v>
      </c>
      <c r="BE22" t="s">
        <v>1360</v>
      </c>
      <c r="BG22" t="s">
        <v>1360</v>
      </c>
      <c r="BH22" t="s">
        <v>1360</v>
      </c>
      <c r="BJ22" t="s">
        <v>1360</v>
      </c>
      <c r="BK22" t="s">
        <v>1360</v>
      </c>
      <c r="BL22" t="s">
        <v>1360</v>
      </c>
      <c r="BM22" t="s">
        <v>1728</v>
      </c>
      <c r="BN22" t="s">
        <v>1360</v>
      </c>
      <c r="BO22" t="s">
        <v>1360</v>
      </c>
      <c r="BP22" t="s">
        <v>1360</v>
      </c>
      <c r="BQ22" t="s">
        <v>1527</v>
      </c>
      <c r="BR22" t="s">
        <v>1717</v>
      </c>
      <c r="BS22" t="s">
        <v>1360</v>
      </c>
      <c r="BT22" t="s">
        <v>1360</v>
      </c>
      <c r="BU22" t="s">
        <v>1360</v>
      </c>
      <c r="BV22" t="s">
        <v>1360</v>
      </c>
      <c r="BW22" t="s">
        <v>1360</v>
      </c>
      <c r="BX22" t="s">
        <v>1360</v>
      </c>
      <c r="BY22" t="s">
        <v>1360</v>
      </c>
      <c r="BZ22" t="s">
        <v>1360</v>
      </c>
      <c r="CA22" t="s">
        <v>1360</v>
      </c>
      <c r="CB22" t="s">
        <v>1360</v>
      </c>
      <c r="CC22" t="s">
        <v>1729</v>
      </c>
      <c r="CD22" t="s">
        <v>1360</v>
      </c>
      <c r="CE22" t="s">
        <v>1360</v>
      </c>
      <c r="CF22" t="s">
        <v>1360</v>
      </c>
      <c r="CG22" t="s">
        <v>1360</v>
      </c>
      <c r="CH22" t="s">
        <v>1517</v>
      </c>
      <c r="CI22" t="s">
        <v>1360</v>
      </c>
      <c r="CJ22" t="s">
        <v>1360</v>
      </c>
      <c r="CK22" t="s">
        <v>1360</v>
      </c>
      <c r="CL22" t="s">
        <v>1360</v>
      </c>
      <c r="CM22" t="s">
        <v>1360</v>
      </c>
      <c r="CN22" t="s">
        <v>1360</v>
      </c>
      <c r="CO22" t="s">
        <v>1360</v>
      </c>
      <c r="CP22" t="s">
        <v>1360</v>
      </c>
      <c r="CR22">
        <v>0</v>
      </c>
      <c r="CS22" t="s">
        <v>1360</v>
      </c>
      <c r="CU22" t="s">
        <v>1360</v>
      </c>
      <c r="CV22" t="s">
        <v>1360</v>
      </c>
      <c r="CW22" t="s">
        <v>1360</v>
      </c>
      <c r="CX22" t="s">
        <v>1360</v>
      </c>
      <c r="CY22" t="s">
        <v>1360</v>
      </c>
      <c r="CZ22" t="s">
        <v>1360</v>
      </c>
      <c r="DA22" t="s">
        <v>1360</v>
      </c>
      <c r="DB22" t="s">
        <v>1360</v>
      </c>
      <c r="DC22" t="s">
        <v>1360</v>
      </c>
      <c r="DD22" t="s">
        <v>1360</v>
      </c>
      <c r="DE22" t="s">
        <v>1360</v>
      </c>
      <c r="DG22" t="s">
        <v>1517</v>
      </c>
      <c r="DH22" t="s">
        <v>1360</v>
      </c>
      <c r="DJ22" t="s">
        <v>1360</v>
      </c>
      <c r="DK22" t="s">
        <v>1517</v>
      </c>
      <c r="DL22" t="s">
        <v>1360</v>
      </c>
      <c r="DM22" t="s">
        <v>1360</v>
      </c>
      <c r="DN22" t="s">
        <v>1360</v>
      </c>
      <c r="DO22" t="s">
        <v>1360</v>
      </c>
      <c r="DP22" t="s">
        <v>1360</v>
      </c>
      <c r="DQ22" t="s">
        <v>1360</v>
      </c>
      <c r="DR22">
        <v>0</v>
      </c>
      <c r="DS22" t="s">
        <v>1360</v>
      </c>
      <c r="DT22" t="s">
        <v>1360</v>
      </c>
      <c r="DU22" t="s">
        <v>1360</v>
      </c>
      <c r="DV22" t="s">
        <v>1360</v>
      </c>
      <c r="DW22" t="s">
        <v>1360</v>
      </c>
      <c r="DX22" t="s">
        <v>1360</v>
      </c>
      <c r="DY22" t="s">
        <v>1360</v>
      </c>
      <c r="DZ22" t="s">
        <v>1360</v>
      </c>
      <c r="EA22" t="s">
        <v>1360</v>
      </c>
      <c r="EB22" t="s">
        <v>1360</v>
      </c>
      <c r="EC22" t="s">
        <v>1360</v>
      </c>
      <c r="ED22" t="s">
        <v>1360</v>
      </c>
      <c r="EE22" t="s">
        <v>1360</v>
      </c>
      <c r="EF22">
        <v>0</v>
      </c>
      <c r="EG22" t="s">
        <v>1360</v>
      </c>
      <c r="EH22" t="s">
        <v>1360</v>
      </c>
    </row>
    <row r="23" spans="1:138" hidden="1">
      <c r="A23" t="s">
        <v>1730</v>
      </c>
      <c r="B23" t="s">
        <v>1508</v>
      </c>
      <c r="C23" t="s">
        <v>1592</v>
      </c>
      <c r="D23" t="s">
        <v>81</v>
      </c>
      <c r="E23" t="s">
        <v>1360</v>
      </c>
      <c r="F23" t="s">
        <v>1360</v>
      </c>
      <c r="G23" t="s">
        <v>78</v>
      </c>
      <c r="H23" t="s">
        <v>81</v>
      </c>
      <c r="I23" t="s">
        <v>1360</v>
      </c>
      <c r="J23" t="s">
        <v>1360</v>
      </c>
      <c r="K23" t="s">
        <v>1731</v>
      </c>
      <c r="L23" t="s">
        <v>69</v>
      </c>
      <c r="M23" t="s">
        <v>1732</v>
      </c>
      <c r="N23" t="s">
        <v>1733</v>
      </c>
      <c r="O23" t="s">
        <v>1734</v>
      </c>
      <c r="P23" t="s">
        <v>1592</v>
      </c>
      <c r="Q23" t="s">
        <v>1735</v>
      </c>
      <c r="R23" t="s">
        <v>1712</v>
      </c>
      <c r="S23" t="s">
        <v>1360</v>
      </c>
      <c r="T23" t="s">
        <v>1360</v>
      </c>
      <c r="U23" t="s">
        <v>1517</v>
      </c>
      <c r="V23" t="s">
        <v>1517</v>
      </c>
      <c r="W23" t="s">
        <v>1360</v>
      </c>
      <c r="X23" t="s">
        <v>1599</v>
      </c>
      <c r="Y23" t="s">
        <v>1517</v>
      </c>
      <c r="Z23" t="s">
        <v>1360</v>
      </c>
      <c r="AA23" t="s">
        <v>1360</v>
      </c>
      <c r="AB23" t="s">
        <v>1360</v>
      </c>
      <c r="AC23">
        <v>42848</v>
      </c>
      <c r="AD23" t="s">
        <v>1519</v>
      </c>
      <c r="AE23" t="s">
        <v>1360</v>
      </c>
      <c r="AF23" t="s">
        <v>1360</v>
      </c>
      <c r="AG23" t="s">
        <v>1601</v>
      </c>
      <c r="AH23" t="s">
        <v>1360</v>
      </c>
      <c r="AI23" t="s">
        <v>1360</v>
      </c>
      <c r="AJ23" t="s">
        <v>1360</v>
      </c>
      <c r="AK23" t="s">
        <v>1360</v>
      </c>
      <c r="AL23" t="s">
        <v>1360</v>
      </c>
      <c r="AM23" t="s">
        <v>1602</v>
      </c>
      <c r="AN23" t="s">
        <v>82</v>
      </c>
      <c r="AO23" t="e">
        <f>_xlfn.XLOOKUP(AN23,#REF!,#REF!)</f>
        <v>#REF!</v>
      </c>
      <c r="AP23" t="s">
        <v>1360</v>
      </c>
      <c r="AQ23" t="s">
        <v>1360</v>
      </c>
      <c r="AR23" t="s">
        <v>1360</v>
      </c>
      <c r="AS23" t="s">
        <v>1604</v>
      </c>
      <c r="AT23" t="s">
        <v>1360</v>
      </c>
      <c r="AU23" t="s">
        <v>1360</v>
      </c>
      <c r="AV23" t="s">
        <v>1360</v>
      </c>
      <c r="AW23" t="s">
        <v>1360</v>
      </c>
      <c r="AX23" t="s">
        <v>1360</v>
      </c>
      <c r="AY23" t="s">
        <v>1360</v>
      </c>
      <c r="AZ23" t="s">
        <v>1360</v>
      </c>
      <c r="BA23" t="s">
        <v>1360</v>
      </c>
      <c r="BB23" t="s">
        <v>1360</v>
      </c>
      <c r="BC23" t="s">
        <v>1360</v>
      </c>
      <c r="BD23" t="s">
        <v>1360</v>
      </c>
      <c r="BE23" t="s">
        <v>1360</v>
      </c>
      <c r="BG23" t="s">
        <v>1360</v>
      </c>
      <c r="BH23" t="s">
        <v>1360</v>
      </c>
      <c r="BJ23" t="s">
        <v>1360</v>
      </c>
      <c r="BK23" t="s">
        <v>1360</v>
      </c>
      <c r="BL23" t="s">
        <v>1360</v>
      </c>
      <c r="BM23" t="s">
        <v>1736</v>
      </c>
      <c r="BN23" t="s">
        <v>1360</v>
      </c>
      <c r="BO23" t="s">
        <v>1360</v>
      </c>
      <c r="BP23" t="s">
        <v>1360</v>
      </c>
      <c r="BQ23" t="s">
        <v>1527</v>
      </c>
      <c r="BR23" t="s">
        <v>1717</v>
      </c>
      <c r="BS23" t="s">
        <v>1360</v>
      </c>
      <c r="BT23" t="s">
        <v>1360</v>
      </c>
      <c r="BU23" t="s">
        <v>1360</v>
      </c>
      <c r="BV23" t="s">
        <v>1360</v>
      </c>
      <c r="BW23" t="s">
        <v>1360</v>
      </c>
      <c r="BX23" t="s">
        <v>1360</v>
      </c>
      <c r="BY23" t="s">
        <v>1360</v>
      </c>
      <c r="BZ23" t="s">
        <v>1360</v>
      </c>
      <c r="CA23" t="s">
        <v>1360</v>
      </c>
      <c r="CB23" t="s">
        <v>1360</v>
      </c>
      <c r="CC23" t="s">
        <v>1737</v>
      </c>
      <c r="CD23" t="s">
        <v>1360</v>
      </c>
      <c r="CE23" t="s">
        <v>1360</v>
      </c>
      <c r="CF23" t="s">
        <v>1360</v>
      </c>
      <c r="CG23" t="s">
        <v>1360</v>
      </c>
      <c r="CH23" t="s">
        <v>1517</v>
      </c>
      <c r="CI23" t="s">
        <v>1360</v>
      </c>
      <c r="CJ23" t="s">
        <v>1360</v>
      </c>
      <c r="CK23" t="s">
        <v>1360</v>
      </c>
      <c r="CL23" t="s">
        <v>1360</v>
      </c>
      <c r="CM23" t="s">
        <v>1360</v>
      </c>
      <c r="CN23" t="s">
        <v>1360</v>
      </c>
      <c r="CO23" t="s">
        <v>1360</v>
      </c>
      <c r="CP23" t="s">
        <v>1360</v>
      </c>
      <c r="CR23">
        <v>0</v>
      </c>
      <c r="CS23" t="s">
        <v>1360</v>
      </c>
      <c r="CU23" t="s">
        <v>1360</v>
      </c>
      <c r="CV23" t="s">
        <v>1360</v>
      </c>
      <c r="CW23" t="s">
        <v>1360</v>
      </c>
      <c r="CX23" t="s">
        <v>1360</v>
      </c>
      <c r="CY23" t="s">
        <v>1360</v>
      </c>
      <c r="CZ23" t="s">
        <v>1360</v>
      </c>
      <c r="DA23" t="s">
        <v>1360</v>
      </c>
      <c r="DB23" t="s">
        <v>1360</v>
      </c>
      <c r="DC23" t="s">
        <v>1360</v>
      </c>
      <c r="DD23" t="s">
        <v>1360</v>
      </c>
      <c r="DE23" t="s">
        <v>1360</v>
      </c>
      <c r="DG23" t="s">
        <v>1517</v>
      </c>
      <c r="DH23" t="s">
        <v>1360</v>
      </c>
      <c r="DJ23" t="s">
        <v>1360</v>
      </c>
      <c r="DK23" t="s">
        <v>1517</v>
      </c>
      <c r="DL23" t="s">
        <v>1360</v>
      </c>
      <c r="DM23" t="s">
        <v>1360</v>
      </c>
      <c r="DN23" t="s">
        <v>1360</v>
      </c>
      <c r="DO23" t="s">
        <v>1360</v>
      </c>
      <c r="DP23" t="s">
        <v>1360</v>
      </c>
      <c r="DQ23" t="s">
        <v>1360</v>
      </c>
      <c r="DR23">
        <v>0</v>
      </c>
      <c r="DS23" t="s">
        <v>1360</v>
      </c>
      <c r="DT23" t="s">
        <v>1360</v>
      </c>
      <c r="DU23" t="s">
        <v>1360</v>
      </c>
      <c r="DV23" t="s">
        <v>1360</v>
      </c>
      <c r="DW23" t="s">
        <v>1360</v>
      </c>
      <c r="DX23" t="s">
        <v>1360</v>
      </c>
      <c r="DY23" t="s">
        <v>1360</v>
      </c>
      <c r="DZ23" t="s">
        <v>1360</v>
      </c>
      <c r="EA23" t="s">
        <v>1360</v>
      </c>
      <c r="EB23" t="s">
        <v>1360</v>
      </c>
      <c r="EC23" t="s">
        <v>1360</v>
      </c>
      <c r="ED23" t="s">
        <v>1360</v>
      </c>
      <c r="EE23" t="s">
        <v>1360</v>
      </c>
      <c r="EF23">
        <v>0</v>
      </c>
      <c r="EG23" t="s">
        <v>1360</v>
      </c>
      <c r="EH23" t="s">
        <v>1360</v>
      </c>
    </row>
    <row r="24" spans="1:138" hidden="1">
      <c r="A24" t="s">
        <v>1738</v>
      </c>
      <c r="B24" t="s">
        <v>1508</v>
      </c>
      <c r="C24" t="s">
        <v>1592</v>
      </c>
      <c r="D24" t="s">
        <v>1739</v>
      </c>
      <c r="E24" t="s">
        <v>1360</v>
      </c>
      <c r="F24" t="s">
        <v>1360</v>
      </c>
      <c r="G24" t="s">
        <v>78</v>
      </c>
      <c r="H24" t="s">
        <v>1710</v>
      </c>
      <c r="I24" t="s">
        <v>1360</v>
      </c>
      <c r="J24" t="s">
        <v>1360</v>
      </c>
      <c r="K24" t="s">
        <v>1740</v>
      </c>
      <c r="L24" t="s">
        <v>69</v>
      </c>
      <c r="M24" t="s">
        <v>1741</v>
      </c>
      <c r="N24" t="s">
        <v>1742</v>
      </c>
      <c r="O24" t="s">
        <v>1743</v>
      </c>
      <c r="P24" t="s">
        <v>1592</v>
      </c>
      <c r="Q24" t="s">
        <v>1744</v>
      </c>
      <c r="R24" t="s">
        <v>1712</v>
      </c>
      <c r="S24" t="s">
        <v>1360</v>
      </c>
      <c r="T24" t="s">
        <v>1360</v>
      </c>
      <c r="U24" t="s">
        <v>1517</v>
      </c>
      <c r="V24" t="s">
        <v>1517</v>
      </c>
      <c r="W24" t="s">
        <v>1360</v>
      </c>
      <c r="X24" t="s">
        <v>1599</v>
      </c>
      <c r="Y24" t="s">
        <v>1517</v>
      </c>
      <c r="Z24" t="s">
        <v>1360</v>
      </c>
      <c r="AA24" t="s">
        <v>1360</v>
      </c>
      <c r="AB24" t="s">
        <v>1360</v>
      </c>
      <c r="AC24">
        <v>42848</v>
      </c>
      <c r="AD24" t="s">
        <v>1519</v>
      </c>
      <c r="AE24" t="s">
        <v>1360</v>
      </c>
      <c r="AF24" t="s">
        <v>1360</v>
      </c>
      <c r="AG24" t="s">
        <v>1601</v>
      </c>
      <c r="AH24" t="s">
        <v>1360</v>
      </c>
      <c r="AI24" t="s">
        <v>1360</v>
      </c>
      <c r="AJ24" t="s">
        <v>1360</v>
      </c>
      <c r="AK24" t="s">
        <v>1360</v>
      </c>
      <c r="AL24" t="s">
        <v>1360</v>
      </c>
      <c r="AM24" t="s">
        <v>1602</v>
      </c>
      <c r="AN24" t="s">
        <v>89</v>
      </c>
      <c r="AO24" t="e">
        <f>_xlfn.XLOOKUP(AN24,#REF!,#REF!)</f>
        <v>#REF!</v>
      </c>
      <c r="AP24" t="s">
        <v>1360</v>
      </c>
      <c r="AQ24" t="s">
        <v>1360</v>
      </c>
      <c r="AR24" t="s">
        <v>1360</v>
      </c>
      <c r="AS24" t="s">
        <v>1604</v>
      </c>
      <c r="AT24" t="s">
        <v>1360</v>
      </c>
      <c r="AU24" t="s">
        <v>1360</v>
      </c>
      <c r="AV24" t="s">
        <v>1360</v>
      </c>
      <c r="AW24" t="s">
        <v>1360</v>
      </c>
      <c r="AX24" t="s">
        <v>1360</v>
      </c>
      <c r="AY24" t="s">
        <v>1360</v>
      </c>
      <c r="AZ24" t="s">
        <v>1360</v>
      </c>
      <c r="BA24" t="s">
        <v>1360</v>
      </c>
      <c r="BB24" t="s">
        <v>1360</v>
      </c>
      <c r="BC24" t="s">
        <v>1360</v>
      </c>
      <c r="BD24" t="s">
        <v>1360</v>
      </c>
      <c r="BE24" t="s">
        <v>1360</v>
      </c>
      <c r="BG24" t="s">
        <v>1360</v>
      </c>
      <c r="BH24" t="s">
        <v>1360</v>
      </c>
      <c r="BJ24" t="s">
        <v>1360</v>
      </c>
      <c r="BK24" t="s">
        <v>1360</v>
      </c>
      <c r="BL24" t="s">
        <v>1360</v>
      </c>
      <c r="BM24" t="s">
        <v>1745</v>
      </c>
      <c r="BN24" t="s">
        <v>1360</v>
      </c>
      <c r="BO24" t="s">
        <v>1360</v>
      </c>
      <c r="BP24" t="s">
        <v>1360</v>
      </c>
      <c r="BQ24" t="s">
        <v>1527</v>
      </c>
      <c r="BR24" t="s">
        <v>1717</v>
      </c>
      <c r="BS24" t="s">
        <v>1360</v>
      </c>
      <c r="BT24" t="s">
        <v>1360</v>
      </c>
      <c r="BU24" t="s">
        <v>1360</v>
      </c>
      <c r="BV24" t="s">
        <v>1360</v>
      </c>
      <c r="BW24" t="s">
        <v>1360</v>
      </c>
      <c r="BX24" t="s">
        <v>1360</v>
      </c>
      <c r="BY24" t="s">
        <v>1360</v>
      </c>
      <c r="BZ24" t="s">
        <v>1360</v>
      </c>
      <c r="CA24" t="s">
        <v>1360</v>
      </c>
      <c r="CB24" t="s">
        <v>1360</v>
      </c>
      <c r="CC24" t="s">
        <v>1746</v>
      </c>
      <c r="CD24" t="s">
        <v>1360</v>
      </c>
      <c r="CE24" t="s">
        <v>1360</v>
      </c>
      <c r="CF24" t="s">
        <v>1360</v>
      </c>
      <c r="CG24" t="s">
        <v>1360</v>
      </c>
      <c r="CH24" t="s">
        <v>1517</v>
      </c>
      <c r="CI24" t="s">
        <v>1360</v>
      </c>
      <c r="CJ24" t="s">
        <v>1360</v>
      </c>
      <c r="CK24" t="s">
        <v>1360</v>
      </c>
      <c r="CL24" t="s">
        <v>1360</v>
      </c>
      <c r="CM24" t="s">
        <v>1360</v>
      </c>
      <c r="CN24" t="s">
        <v>1360</v>
      </c>
      <c r="CO24" t="s">
        <v>1360</v>
      </c>
      <c r="CP24" t="s">
        <v>1360</v>
      </c>
      <c r="CR24">
        <v>0</v>
      </c>
      <c r="CS24" t="s">
        <v>1360</v>
      </c>
      <c r="CU24" t="s">
        <v>1360</v>
      </c>
      <c r="CV24" t="s">
        <v>1360</v>
      </c>
      <c r="CW24" t="s">
        <v>1360</v>
      </c>
      <c r="CX24" t="s">
        <v>1360</v>
      </c>
      <c r="CY24" t="s">
        <v>1360</v>
      </c>
      <c r="CZ24" t="s">
        <v>1360</v>
      </c>
      <c r="DA24" t="s">
        <v>1360</v>
      </c>
      <c r="DB24" t="s">
        <v>1360</v>
      </c>
      <c r="DC24" t="s">
        <v>1360</v>
      </c>
      <c r="DD24" t="s">
        <v>1360</v>
      </c>
      <c r="DE24" t="s">
        <v>1360</v>
      </c>
      <c r="DG24" t="s">
        <v>1517</v>
      </c>
      <c r="DH24" t="s">
        <v>1360</v>
      </c>
      <c r="DJ24" t="s">
        <v>1360</v>
      </c>
      <c r="DK24" t="s">
        <v>1517</v>
      </c>
      <c r="DL24" t="s">
        <v>1360</v>
      </c>
      <c r="DM24" t="s">
        <v>1360</v>
      </c>
      <c r="DN24" t="s">
        <v>1360</v>
      </c>
      <c r="DO24" t="s">
        <v>1360</v>
      </c>
      <c r="DP24" t="s">
        <v>1360</v>
      </c>
      <c r="DQ24" t="s">
        <v>1360</v>
      </c>
      <c r="DR24">
        <v>0</v>
      </c>
      <c r="DS24" t="s">
        <v>1360</v>
      </c>
      <c r="DT24" t="s">
        <v>1360</v>
      </c>
      <c r="DU24" t="s">
        <v>1360</v>
      </c>
      <c r="DV24" t="s">
        <v>1360</v>
      </c>
      <c r="DW24" t="s">
        <v>1360</v>
      </c>
      <c r="DX24" t="s">
        <v>1360</v>
      </c>
      <c r="DY24" t="s">
        <v>1360</v>
      </c>
      <c r="DZ24" t="s">
        <v>1360</v>
      </c>
      <c r="EA24" t="s">
        <v>1360</v>
      </c>
      <c r="EB24" t="s">
        <v>1360</v>
      </c>
      <c r="EC24" t="s">
        <v>1360</v>
      </c>
      <c r="ED24" t="s">
        <v>1360</v>
      </c>
      <c r="EE24" t="s">
        <v>1360</v>
      </c>
      <c r="EF24">
        <v>0</v>
      </c>
      <c r="EG24" t="s">
        <v>1360</v>
      </c>
      <c r="EH24" t="s">
        <v>1360</v>
      </c>
    </row>
    <row r="25" spans="1:138" hidden="1">
      <c r="A25" t="s">
        <v>1747</v>
      </c>
      <c r="B25" t="s">
        <v>1508</v>
      </c>
      <c r="C25" t="s">
        <v>1592</v>
      </c>
      <c r="D25" t="s">
        <v>1748</v>
      </c>
      <c r="E25" t="s">
        <v>1360</v>
      </c>
      <c r="F25" t="s">
        <v>1360</v>
      </c>
      <c r="G25" t="s">
        <v>1516</v>
      </c>
      <c r="H25" t="s">
        <v>37</v>
      </c>
      <c r="I25" t="s">
        <v>1360</v>
      </c>
      <c r="J25" t="s">
        <v>1360</v>
      </c>
      <c r="K25" t="s">
        <v>1545</v>
      </c>
      <c r="L25" t="s">
        <v>32</v>
      </c>
      <c r="M25" t="s">
        <v>1749</v>
      </c>
      <c r="N25" t="s">
        <v>1750</v>
      </c>
      <c r="O25" t="s">
        <v>1751</v>
      </c>
      <c r="P25" t="s">
        <v>1592</v>
      </c>
      <c r="Q25" t="s">
        <v>1752</v>
      </c>
      <c r="R25" t="s">
        <v>1516</v>
      </c>
      <c r="S25" t="s">
        <v>1360</v>
      </c>
      <c r="T25" t="s">
        <v>1360</v>
      </c>
      <c r="U25" t="s">
        <v>1517</v>
      </c>
      <c r="V25" t="s">
        <v>1517</v>
      </c>
      <c r="W25" t="s">
        <v>1360</v>
      </c>
      <c r="X25" t="s">
        <v>1599</v>
      </c>
      <c r="Y25" t="s">
        <v>1517</v>
      </c>
      <c r="Z25" t="s">
        <v>1360</v>
      </c>
      <c r="AA25" t="s">
        <v>1360</v>
      </c>
      <c r="AB25" t="s">
        <v>1360</v>
      </c>
      <c r="AC25">
        <v>42848</v>
      </c>
      <c r="AD25" t="s">
        <v>1519</v>
      </c>
      <c r="AE25" t="s">
        <v>1360</v>
      </c>
      <c r="AF25" t="s">
        <v>1360</v>
      </c>
      <c r="AG25" t="s">
        <v>1601</v>
      </c>
      <c r="AH25" t="s">
        <v>1360</v>
      </c>
      <c r="AI25" t="s">
        <v>1360</v>
      </c>
      <c r="AJ25" t="s">
        <v>1360</v>
      </c>
      <c r="AK25" t="s">
        <v>1360</v>
      </c>
      <c r="AL25" t="s">
        <v>1360</v>
      </c>
      <c r="AM25" t="s">
        <v>1602</v>
      </c>
      <c r="AN25" t="s">
        <v>1753</v>
      </c>
      <c r="AO25" t="e">
        <f>_xlfn.XLOOKUP(AN25,#REF!,#REF!)</f>
        <v>#REF!</v>
      </c>
      <c r="AP25" t="s">
        <v>1360</v>
      </c>
      <c r="AQ25" t="s">
        <v>1360</v>
      </c>
      <c r="AR25" t="s">
        <v>1360</v>
      </c>
      <c r="AS25" t="s">
        <v>1604</v>
      </c>
      <c r="AT25" t="s">
        <v>1360</v>
      </c>
      <c r="AU25" t="s">
        <v>1360</v>
      </c>
      <c r="AV25" t="s">
        <v>1360</v>
      </c>
      <c r="AW25" t="s">
        <v>1360</v>
      </c>
      <c r="AX25" t="s">
        <v>1360</v>
      </c>
      <c r="AY25" t="s">
        <v>1360</v>
      </c>
      <c r="AZ25" t="s">
        <v>1360</v>
      </c>
      <c r="BA25" t="s">
        <v>1360</v>
      </c>
      <c r="BB25" t="s">
        <v>1360</v>
      </c>
      <c r="BC25" t="s">
        <v>1360</v>
      </c>
      <c r="BD25" t="s">
        <v>1360</v>
      </c>
      <c r="BE25" t="s">
        <v>1360</v>
      </c>
      <c r="BG25" t="s">
        <v>1360</v>
      </c>
      <c r="BH25" t="s">
        <v>1360</v>
      </c>
      <c r="BJ25" t="s">
        <v>1360</v>
      </c>
      <c r="BK25" t="s">
        <v>1360</v>
      </c>
      <c r="BL25" t="s">
        <v>1360</v>
      </c>
      <c r="BM25" t="s">
        <v>1754</v>
      </c>
      <c r="BN25" t="s">
        <v>1360</v>
      </c>
      <c r="BO25" t="s">
        <v>1360</v>
      </c>
      <c r="BP25" t="s">
        <v>1360</v>
      </c>
      <c r="BQ25" t="s">
        <v>1527</v>
      </c>
      <c r="BR25" t="s">
        <v>1528</v>
      </c>
      <c r="BS25" t="s">
        <v>1360</v>
      </c>
      <c r="BT25" t="s">
        <v>1360</v>
      </c>
      <c r="BU25" t="s">
        <v>1360</v>
      </c>
      <c r="BV25" t="s">
        <v>1360</v>
      </c>
      <c r="BW25" t="s">
        <v>1360</v>
      </c>
      <c r="BX25" t="s">
        <v>1360</v>
      </c>
      <c r="BY25" t="s">
        <v>1360</v>
      </c>
      <c r="BZ25" t="s">
        <v>1360</v>
      </c>
      <c r="CA25" t="s">
        <v>1360</v>
      </c>
      <c r="CB25" t="s">
        <v>1360</v>
      </c>
      <c r="CC25" t="s">
        <v>1755</v>
      </c>
      <c r="CD25" t="s">
        <v>1360</v>
      </c>
      <c r="CE25" t="s">
        <v>1360</v>
      </c>
      <c r="CF25" t="s">
        <v>1360</v>
      </c>
      <c r="CG25" t="s">
        <v>1360</v>
      </c>
      <c r="CH25" t="s">
        <v>1517</v>
      </c>
      <c r="CI25" t="s">
        <v>1360</v>
      </c>
      <c r="CJ25" t="s">
        <v>1360</v>
      </c>
      <c r="CK25" t="s">
        <v>1360</v>
      </c>
      <c r="CL25" t="s">
        <v>1360</v>
      </c>
      <c r="CM25" t="s">
        <v>1360</v>
      </c>
      <c r="CN25" t="s">
        <v>1360</v>
      </c>
      <c r="CO25" t="s">
        <v>1360</v>
      </c>
      <c r="CP25" t="s">
        <v>1360</v>
      </c>
      <c r="CR25">
        <v>0</v>
      </c>
      <c r="CS25" t="s">
        <v>1360</v>
      </c>
      <c r="CU25" t="s">
        <v>1360</v>
      </c>
      <c r="CV25" t="s">
        <v>1360</v>
      </c>
      <c r="CW25" t="s">
        <v>1360</v>
      </c>
      <c r="CX25" t="s">
        <v>1360</v>
      </c>
      <c r="CY25" t="s">
        <v>1360</v>
      </c>
      <c r="CZ25" t="s">
        <v>1360</v>
      </c>
      <c r="DA25" t="s">
        <v>1360</v>
      </c>
      <c r="DB25" t="s">
        <v>1360</v>
      </c>
      <c r="DC25" t="s">
        <v>1360</v>
      </c>
      <c r="DD25" t="s">
        <v>1360</v>
      </c>
      <c r="DE25" t="s">
        <v>1360</v>
      </c>
      <c r="DG25" t="s">
        <v>1517</v>
      </c>
      <c r="DH25" t="s">
        <v>1360</v>
      </c>
      <c r="DJ25" t="s">
        <v>1360</v>
      </c>
      <c r="DK25" t="s">
        <v>1517</v>
      </c>
      <c r="DL25" t="s">
        <v>1360</v>
      </c>
      <c r="DM25" t="s">
        <v>1360</v>
      </c>
      <c r="DN25" t="s">
        <v>1360</v>
      </c>
      <c r="DO25" t="s">
        <v>1360</v>
      </c>
      <c r="DP25" t="s">
        <v>1360</v>
      </c>
      <c r="DQ25" t="s">
        <v>1360</v>
      </c>
      <c r="DR25">
        <v>0</v>
      </c>
      <c r="DS25" t="s">
        <v>1360</v>
      </c>
      <c r="DT25" t="s">
        <v>1360</v>
      </c>
      <c r="DU25" t="s">
        <v>1360</v>
      </c>
      <c r="DV25" t="s">
        <v>1360</v>
      </c>
      <c r="DW25" t="s">
        <v>1360</v>
      </c>
      <c r="DX25" t="s">
        <v>1360</v>
      </c>
      <c r="DY25" t="s">
        <v>1360</v>
      </c>
      <c r="DZ25" t="s">
        <v>1360</v>
      </c>
      <c r="EA25" t="s">
        <v>1360</v>
      </c>
      <c r="EB25" t="s">
        <v>1360</v>
      </c>
      <c r="EC25" t="s">
        <v>1360</v>
      </c>
      <c r="ED25" t="s">
        <v>1360</v>
      </c>
      <c r="EE25" t="s">
        <v>1360</v>
      </c>
      <c r="EF25">
        <v>0</v>
      </c>
      <c r="EG25" t="s">
        <v>1360</v>
      </c>
      <c r="EH25" t="s">
        <v>1360</v>
      </c>
    </row>
    <row r="26" spans="1:138" hidden="1">
      <c r="A26" t="s">
        <v>1756</v>
      </c>
      <c r="B26" t="s">
        <v>1508</v>
      </c>
      <c r="C26" t="s">
        <v>1592</v>
      </c>
      <c r="D26" t="s">
        <v>1748</v>
      </c>
      <c r="E26" t="s">
        <v>1360</v>
      </c>
      <c r="F26" t="s">
        <v>1360</v>
      </c>
      <c r="G26" t="s">
        <v>1516</v>
      </c>
      <c r="H26" t="s">
        <v>37</v>
      </c>
      <c r="I26" t="s">
        <v>1360</v>
      </c>
      <c r="J26" t="s">
        <v>1360</v>
      </c>
      <c r="K26" t="s">
        <v>1545</v>
      </c>
      <c r="L26" t="s">
        <v>32</v>
      </c>
      <c r="M26" t="s">
        <v>1749</v>
      </c>
      <c r="N26" t="s">
        <v>1750</v>
      </c>
      <c r="O26" t="s">
        <v>1757</v>
      </c>
      <c r="P26" t="s">
        <v>1592</v>
      </c>
      <c r="Q26" t="s">
        <v>1752</v>
      </c>
      <c r="R26" t="s">
        <v>1516</v>
      </c>
      <c r="S26" t="s">
        <v>1360</v>
      </c>
      <c r="T26" t="s">
        <v>1360</v>
      </c>
      <c r="U26" t="s">
        <v>1517</v>
      </c>
      <c r="V26" t="s">
        <v>1517</v>
      </c>
      <c r="W26" t="s">
        <v>1360</v>
      </c>
      <c r="X26" t="s">
        <v>1599</v>
      </c>
      <c r="Y26" t="s">
        <v>1517</v>
      </c>
      <c r="Z26" t="s">
        <v>1360</v>
      </c>
      <c r="AA26" t="s">
        <v>1360</v>
      </c>
      <c r="AB26" t="s">
        <v>1360</v>
      </c>
      <c r="AC26">
        <v>45450</v>
      </c>
      <c r="AD26" t="s">
        <v>1539</v>
      </c>
      <c r="AE26" t="s">
        <v>1360</v>
      </c>
      <c r="AF26" t="s">
        <v>1360</v>
      </c>
      <c r="AG26" t="s">
        <v>1601</v>
      </c>
      <c r="AH26" t="s">
        <v>1360</v>
      </c>
      <c r="AI26" t="s">
        <v>1360</v>
      </c>
      <c r="AJ26" t="s">
        <v>1360</v>
      </c>
      <c r="AK26" t="s">
        <v>1360</v>
      </c>
      <c r="AL26" t="s">
        <v>1360</v>
      </c>
      <c r="AM26" t="s">
        <v>1602</v>
      </c>
      <c r="AN26" t="s">
        <v>1753</v>
      </c>
      <c r="AO26" t="e">
        <f>_xlfn.XLOOKUP(AN26,#REF!,#REF!)</f>
        <v>#REF!</v>
      </c>
      <c r="AP26" t="s">
        <v>1360</v>
      </c>
      <c r="AQ26" t="s">
        <v>1360</v>
      </c>
      <c r="AR26" t="s">
        <v>1360</v>
      </c>
      <c r="AS26" t="s">
        <v>1604</v>
      </c>
      <c r="AT26" t="s">
        <v>1360</v>
      </c>
      <c r="AU26" t="s">
        <v>1360</v>
      </c>
      <c r="AV26" t="s">
        <v>1360</v>
      </c>
      <c r="AW26" t="s">
        <v>1360</v>
      </c>
      <c r="AX26" t="s">
        <v>1360</v>
      </c>
      <c r="AY26" t="s">
        <v>1360</v>
      </c>
      <c r="AZ26" t="s">
        <v>1360</v>
      </c>
      <c r="BA26" t="s">
        <v>1360</v>
      </c>
      <c r="BB26" t="s">
        <v>1360</v>
      </c>
      <c r="BC26" t="s">
        <v>1360</v>
      </c>
      <c r="BD26" t="s">
        <v>1360</v>
      </c>
      <c r="BE26" t="s">
        <v>1360</v>
      </c>
      <c r="BG26" t="s">
        <v>1360</v>
      </c>
      <c r="BH26" t="s">
        <v>1360</v>
      </c>
      <c r="BJ26" t="s">
        <v>1360</v>
      </c>
      <c r="BK26" t="s">
        <v>1360</v>
      </c>
      <c r="BL26" t="s">
        <v>1360</v>
      </c>
      <c r="BM26" t="s">
        <v>1360</v>
      </c>
      <c r="BN26" t="s">
        <v>1360</v>
      </c>
      <c r="BO26" t="s">
        <v>1360</v>
      </c>
      <c r="BP26" t="s">
        <v>1360</v>
      </c>
      <c r="BQ26" t="s">
        <v>1527</v>
      </c>
      <c r="BR26" t="s">
        <v>1528</v>
      </c>
      <c r="BS26" t="s">
        <v>1360</v>
      </c>
      <c r="BT26" t="s">
        <v>1360</v>
      </c>
      <c r="BU26" t="s">
        <v>1360</v>
      </c>
      <c r="BV26" t="s">
        <v>1360</v>
      </c>
      <c r="BW26" t="s">
        <v>1360</v>
      </c>
      <c r="BX26" t="s">
        <v>1360</v>
      </c>
      <c r="BY26" t="s">
        <v>1360</v>
      </c>
      <c r="BZ26" t="s">
        <v>1360</v>
      </c>
      <c r="CA26" t="s">
        <v>1360</v>
      </c>
      <c r="CB26" t="s">
        <v>1360</v>
      </c>
      <c r="CC26" t="s">
        <v>1755</v>
      </c>
      <c r="CD26" t="s">
        <v>1360</v>
      </c>
      <c r="CE26" t="s">
        <v>1360</v>
      </c>
      <c r="CF26" t="s">
        <v>1360</v>
      </c>
      <c r="CG26" t="s">
        <v>1360</v>
      </c>
      <c r="CH26" t="s">
        <v>1517</v>
      </c>
      <c r="CI26" t="s">
        <v>1360</v>
      </c>
      <c r="CJ26" t="s">
        <v>1360</v>
      </c>
      <c r="CK26" t="s">
        <v>1360</v>
      </c>
      <c r="CL26" t="s">
        <v>1360</v>
      </c>
      <c r="CM26" t="s">
        <v>1360</v>
      </c>
      <c r="CN26" t="s">
        <v>1360</v>
      </c>
      <c r="CO26" t="s">
        <v>1360</v>
      </c>
      <c r="CP26" t="s">
        <v>1360</v>
      </c>
      <c r="CR26">
        <v>0</v>
      </c>
      <c r="CS26" t="s">
        <v>1360</v>
      </c>
      <c r="CU26" t="s">
        <v>1360</v>
      </c>
      <c r="CV26" t="s">
        <v>1360</v>
      </c>
      <c r="CW26" t="s">
        <v>1360</v>
      </c>
      <c r="CX26" t="s">
        <v>1360</v>
      </c>
      <c r="CY26" t="s">
        <v>1360</v>
      </c>
      <c r="CZ26" t="s">
        <v>1360</v>
      </c>
      <c r="DA26" t="s">
        <v>1360</v>
      </c>
      <c r="DB26" t="s">
        <v>1360</v>
      </c>
      <c r="DC26" t="s">
        <v>1360</v>
      </c>
      <c r="DD26" t="s">
        <v>1360</v>
      </c>
      <c r="DE26" t="s">
        <v>1360</v>
      </c>
      <c r="DG26" t="s">
        <v>1517</v>
      </c>
      <c r="DH26" t="s">
        <v>1360</v>
      </c>
      <c r="DJ26" t="s">
        <v>1360</v>
      </c>
      <c r="DK26" t="s">
        <v>1517</v>
      </c>
      <c r="DL26" t="s">
        <v>1360</v>
      </c>
      <c r="DM26" t="s">
        <v>1360</v>
      </c>
      <c r="DN26" t="s">
        <v>1360</v>
      </c>
      <c r="DO26" t="s">
        <v>1360</v>
      </c>
      <c r="DP26" t="s">
        <v>1360</v>
      </c>
      <c r="DQ26" t="s">
        <v>1360</v>
      </c>
      <c r="DR26">
        <v>0</v>
      </c>
      <c r="DS26" t="s">
        <v>1360</v>
      </c>
      <c r="DT26" t="s">
        <v>1360</v>
      </c>
      <c r="DU26" t="s">
        <v>1360</v>
      </c>
      <c r="DV26" t="s">
        <v>1360</v>
      </c>
      <c r="DW26" t="s">
        <v>1360</v>
      </c>
      <c r="DX26" t="s">
        <v>1360</v>
      </c>
      <c r="DY26" t="s">
        <v>1360</v>
      </c>
      <c r="DZ26" t="s">
        <v>1360</v>
      </c>
      <c r="EA26" t="s">
        <v>1360</v>
      </c>
      <c r="EB26" t="s">
        <v>1360</v>
      </c>
      <c r="EC26" t="s">
        <v>1360</v>
      </c>
      <c r="ED26" t="s">
        <v>1360</v>
      </c>
      <c r="EE26" t="s">
        <v>1360</v>
      </c>
      <c r="EF26">
        <v>0</v>
      </c>
      <c r="EG26" t="s">
        <v>1360</v>
      </c>
      <c r="EH26" t="s">
        <v>1360</v>
      </c>
    </row>
    <row r="27" spans="1:138" hidden="1">
      <c r="A27" t="s">
        <v>1758</v>
      </c>
      <c r="B27" t="s">
        <v>1508</v>
      </c>
      <c r="C27" t="s">
        <v>1592</v>
      </c>
      <c r="D27" t="s">
        <v>1360</v>
      </c>
      <c r="E27" t="s">
        <v>1360</v>
      </c>
      <c r="F27" t="s">
        <v>1360</v>
      </c>
      <c r="G27" t="s">
        <v>1516</v>
      </c>
      <c r="H27" t="s">
        <v>1759</v>
      </c>
      <c r="I27" t="s">
        <v>1360</v>
      </c>
      <c r="J27" t="s">
        <v>1360</v>
      </c>
      <c r="K27" t="s">
        <v>1760</v>
      </c>
      <c r="L27" t="s">
        <v>32</v>
      </c>
      <c r="M27" t="s">
        <v>1596</v>
      </c>
      <c r="N27" t="s">
        <v>1761</v>
      </c>
      <c r="O27" t="s">
        <v>1762</v>
      </c>
      <c r="P27" t="s">
        <v>1592</v>
      </c>
      <c r="Q27" t="s">
        <v>1360</v>
      </c>
      <c r="R27" t="s">
        <v>1516</v>
      </c>
      <c r="S27" t="s">
        <v>1360</v>
      </c>
      <c r="T27" t="s">
        <v>1360</v>
      </c>
      <c r="U27" t="s">
        <v>1517</v>
      </c>
      <c r="V27" t="s">
        <v>1517</v>
      </c>
      <c r="W27" t="s">
        <v>1360</v>
      </c>
      <c r="X27" t="s">
        <v>1599</v>
      </c>
      <c r="Y27" t="s">
        <v>1517</v>
      </c>
      <c r="Z27" t="s">
        <v>1360</v>
      </c>
      <c r="AA27" t="s">
        <v>1360</v>
      </c>
      <c r="AB27" t="s">
        <v>1360</v>
      </c>
      <c r="AC27">
        <v>42848</v>
      </c>
      <c r="AD27" t="s">
        <v>1519</v>
      </c>
      <c r="AE27" t="s">
        <v>1360</v>
      </c>
      <c r="AF27" t="s">
        <v>1360</v>
      </c>
      <c r="AG27" t="s">
        <v>1601</v>
      </c>
      <c r="AH27" t="s">
        <v>1360</v>
      </c>
      <c r="AI27" t="s">
        <v>1360</v>
      </c>
      <c r="AJ27" t="s">
        <v>1360</v>
      </c>
      <c r="AK27" t="s">
        <v>1360</v>
      </c>
      <c r="AL27" t="s">
        <v>1360</v>
      </c>
      <c r="AM27" t="s">
        <v>1602</v>
      </c>
      <c r="AN27" t="s">
        <v>1763</v>
      </c>
      <c r="AO27" t="e">
        <f>_xlfn.XLOOKUP(AN27,#REF!,#REF!)</f>
        <v>#REF!</v>
      </c>
      <c r="AP27" t="s">
        <v>1360</v>
      </c>
      <c r="AQ27" t="s">
        <v>1360</v>
      </c>
      <c r="AR27" t="s">
        <v>1360</v>
      </c>
      <c r="AS27" t="s">
        <v>1604</v>
      </c>
      <c r="AT27" t="s">
        <v>1360</v>
      </c>
      <c r="AU27" t="s">
        <v>1360</v>
      </c>
      <c r="AV27" t="s">
        <v>1360</v>
      </c>
      <c r="AW27" t="s">
        <v>1360</v>
      </c>
      <c r="AX27" t="s">
        <v>1360</v>
      </c>
      <c r="AY27" t="s">
        <v>1360</v>
      </c>
      <c r="AZ27" t="s">
        <v>1360</v>
      </c>
      <c r="BA27" t="s">
        <v>1360</v>
      </c>
      <c r="BB27" t="s">
        <v>1360</v>
      </c>
      <c r="BC27" t="s">
        <v>1360</v>
      </c>
      <c r="BD27" t="s">
        <v>1360</v>
      </c>
      <c r="BE27" t="s">
        <v>1360</v>
      </c>
      <c r="BG27" t="s">
        <v>1360</v>
      </c>
      <c r="BH27" t="s">
        <v>1360</v>
      </c>
      <c r="BJ27" t="s">
        <v>1360</v>
      </c>
      <c r="BK27" t="s">
        <v>1360</v>
      </c>
      <c r="BL27" t="s">
        <v>1360</v>
      </c>
      <c r="BM27" t="s">
        <v>1764</v>
      </c>
      <c r="BN27" t="s">
        <v>1360</v>
      </c>
      <c r="BO27" t="s">
        <v>1360</v>
      </c>
      <c r="BP27" t="s">
        <v>1360</v>
      </c>
      <c r="BQ27" t="s">
        <v>1527</v>
      </c>
      <c r="BR27" t="s">
        <v>1528</v>
      </c>
      <c r="BS27" t="s">
        <v>1360</v>
      </c>
      <c r="BT27" t="s">
        <v>1360</v>
      </c>
      <c r="BU27" t="s">
        <v>1360</v>
      </c>
      <c r="BV27" t="s">
        <v>1360</v>
      </c>
      <c r="BW27" t="s">
        <v>1360</v>
      </c>
      <c r="BX27" t="s">
        <v>1360</v>
      </c>
      <c r="BY27" t="s">
        <v>1360</v>
      </c>
      <c r="BZ27" t="s">
        <v>1360</v>
      </c>
      <c r="CA27" t="s">
        <v>1360</v>
      </c>
      <c r="CB27" t="s">
        <v>1360</v>
      </c>
      <c r="CC27" t="s">
        <v>1765</v>
      </c>
      <c r="CD27" t="s">
        <v>1360</v>
      </c>
      <c r="CE27" t="s">
        <v>1360</v>
      </c>
      <c r="CF27" t="s">
        <v>1360</v>
      </c>
      <c r="CG27" t="s">
        <v>1360</v>
      </c>
      <c r="CH27" t="s">
        <v>1517</v>
      </c>
      <c r="CI27" t="s">
        <v>1360</v>
      </c>
      <c r="CJ27" t="s">
        <v>1360</v>
      </c>
      <c r="CK27" t="s">
        <v>1360</v>
      </c>
      <c r="CL27" t="s">
        <v>1360</v>
      </c>
      <c r="CM27" t="s">
        <v>1360</v>
      </c>
      <c r="CN27" t="s">
        <v>1360</v>
      </c>
      <c r="CO27" t="s">
        <v>1360</v>
      </c>
      <c r="CP27" t="s">
        <v>1360</v>
      </c>
      <c r="CR27">
        <v>0</v>
      </c>
      <c r="CS27" t="s">
        <v>1360</v>
      </c>
      <c r="CU27" t="s">
        <v>1360</v>
      </c>
      <c r="CV27" t="s">
        <v>1360</v>
      </c>
      <c r="CW27" t="s">
        <v>1360</v>
      </c>
      <c r="CX27" t="s">
        <v>1360</v>
      </c>
      <c r="CY27" t="s">
        <v>1360</v>
      </c>
      <c r="CZ27" t="s">
        <v>1360</v>
      </c>
      <c r="DA27" t="s">
        <v>1360</v>
      </c>
      <c r="DB27" t="s">
        <v>1360</v>
      </c>
      <c r="DC27" t="s">
        <v>1360</v>
      </c>
      <c r="DD27" t="s">
        <v>1360</v>
      </c>
      <c r="DE27" t="s">
        <v>1360</v>
      </c>
      <c r="DG27" t="s">
        <v>1517</v>
      </c>
      <c r="DH27" t="s">
        <v>1360</v>
      </c>
      <c r="DJ27" t="s">
        <v>1360</v>
      </c>
      <c r="DK27" t="s">
        <v>1517</v>
      </c>
      <c r="DL27" t="s">
        <v>1360</v>
      </c>
      <c r="DM27" t="s">
        <v>1360</v>
      </c>
      <c r="DN27" t="s">
        <v>1360</v>
      </c>
      <c r="DO27" t="s">
        <v>1360</v>
      </c>
      <c r="DP27" t="s">
        <v>1360</v>
      </c>
      <c r="DQ27" t="s">
        <v>1360</v>
      </c>
      <c r="DR27">
        <v>0</v>
      </c>
      <c r="DS27" t="s">
        <v>1360</v>
      </c>
      <c r="DT27" t="s">
        <v>1360</v>
      </c>
      <c r="DU27" t="s">
        <v>1360</v>
      </c>
      <c r="DV27" t="s">
        <v>1360</v>
      </c>
      <c r="DW27" t="s">
        <v>1360</v>
      </c>
      <c r="DX27" t="s">
        <v>1360</v>
      </c>
      <c r="DY27" t="s">
        <v>1360</v>
      </c>
      <c r="DZ27" t="s">
        <v>1360</v>
      </c>
      <c r="EA27" t="s">
        <v>1360</v>
      </c>
      <c r="EB27" t="s">
        <v>1360</v>
      </c>
      <c r="EC27" t="s">
        <v>1360</v>
      </c>
      <c r="ED27" t="s">
        <v>1360</v>
      </c>
      <c r="EE27" t="s">
        <v>1360</v>
      </c>
      <c r="EF27">
        <v>0</v>
      </c>
      <c r="EG27" t="s">
        <v>1360</v>
      </c>
      <c r="EH27" t="s">
        <v>1360</v>
      </c>
    </row>
    <row r="28" spans="1:138">
      <c r="A28" t="s">
        <v>1766</v>
      </c>
      <c r="B28" t="s">
        <v>1508</v>
      </c>
      <c r="C28" t="s">
        <v>1767</v>
      </c>
      <c r="D28" t="s">
        <v>78</v>
      </c>
      <c r="E28" t="s">
        <v>1360</v>
      </c>
      <c r="F28" t="s">
        <v>1360</v>
      </c>
      <c r="G28" t="s">
        <v>78</v>
      </c>
      <c r="H28" t="s">
        <v>1768</v>
      </c>
      <c r="I28" t="s">
        <v>1360</v>
      </c>
      <c r="J28" t="s">
        <v>1360</v>
      </c>
      <c r="K28" t="s">
        <v>1724</v>
      </c>
      <c r="L28" t="s">
        <v>69</v>
      </c>
      <c r="M28" t="s">
        <v>1712</v>
      </c>
      <c r="N28" t="s">
        <v>1769</v>
      </c>
      <c r="O28" t="s">
        <v>1770</v>
      </c>
      <c r="P28" t="s">
        <v>1771</v>
      </c>
      <c r="Q28" t="s">
        <v>1712</v>
      </c>
      <c r="R28" t="s">
        <v>1712</v>
      </c>
      <c r="S28" t="s">
        <v>1360</v>
      </c>
      <c r="T28" t="s">
        <v>1360</v>
      </c>
      <c r="U28" t="s">
        <v>1517</v>
      </c>
      <c r="V28" t="s">
        <v>1517</v>
      </c>
      <c r="W28" t="s">
        <v>1360</v>
      </c>
      <c r="X28" t="s">
        <v>1599</v>
      </c>
      <c r="Y28" t="s">
        <v>1517</v>
      </c>
      <c r="Z28" t="s">
        <v>1360</v>
      </c>
      <c r="AA28" t="s">
        <v>1360</v>
      </c>
      <c r="AB28" t="s">
        <v>1360</v>
      </c>
      <c r="AC28">
        <v>42848</v>
      </c>
      <c r="AD28" t="s">
        <v>1519</v>
      </c>
      <c r="AE28" t="s">
        <v>1360</v>
      </c>
      <c r="AF28" t="s">
        <v>1360</v>
      </c>
      <c r="AG28" t="s">
        <v>1601</v>
      </c>
      <c r="AH28" t="s">
        <v>1360</v>
      </c>
      <c r="AI28" t="s">
        <v>1360</v>
      </c>
      <c r="AJ28" t="s">
        <v>1360</v>
      </c>
      <c r="AK28" t="s">
        <v>1360</v>
      </c>
      <c r="AL28" t="s">
        <v>1360</v>
      </c>
      <c r="AM28" t="s">
        <v>1602</v>
      </c>
      <c r="AN28" t="s">
        <v>1772</v>
      </c>
      <c r="AO28" t="e">
        <f>_xlfn.XLOOKUP(AN28,#REF!,#REF!)</f>
        <v>#REF!</v>
      </c>
      <c r="AP28" t="s">
        <v>1360</v>
      </c>
      <c r="AQ28" t="s">
        <v>1360</v>
      </c>
      <c r="AR28" t="s">
        <v>1360</v>
      </c>
      <c r="AS28" t="s">
        <v>1360</v>
      </c>
      <c r="AT28" t="s">
        <v>1360</v>
      </c>
      <c r="AU28" t="s">
        <v>1360</v>
      </c>
      <c r="AV28" t="s">
        <v>1360</v>
      </c>
      <c r="AW28" t="s">
        <v>1360</v>
      </c>
      <c r="AX28" t="s">
        <v>1360</v>
      </c>
      <c r="AY28" t="s">
        <v>1360</v>
      </c>
      <c r="AZ28" t="s">
        <v>1360</v>
      </c>
      <c r="BA28" t="s">
        <v>1360</v>
      </c>
      <c r="BB28" t="s">
        <v>1360</v>
      </c>
      <c r="BC28" t="s">
        <v>1360</v>
      </c>
      <c r="BD28" t="s">
        <v>1360</v>
      </c>
      <c r="BE28" t="s">
        <v>1360</v>
      </c>
      <c r="BG28" t="s">
        <v>1360</v>
      </c>
      <c r="BH28" t="s">
        <v>1360</v>
      </c>
      <c r="BJ28" t="s">
        <v>1360</v>
      </c>
      <c r="BK28" t="s">
        <v>1360</v>
      </c>
      <c r="BL28" t="s">
        <v>1360</v>
      </c>
      <c r="BM28" t="s">
        <v>1773</v>
      </c>
      <c r="BN28" t="s">
        <v>1360</v>
      </c>
      <c r="BO28" t="s">
        <v>1360</v>
      </c>
      <c r="BP28" t="s">
        <v>1360</v>
      </c>
      <c r="BQ28" t="s">
        <v>1527</v>
      </c>
      <c r="BR28" t="s">
        <v>1717</v>
      </c>
      <c r="BS28" t="s">
        <v>1360</v>
      </c>
      <c r="BT28" t="s">
        <v>1360</v>
      </c>
      <c r="BU28" t="s">
        <v>1360</v>
      </c>
      <c r="BV28" t="s">
        <v>1360</v>
      </c>
      <c r="BW28" t="s">
        <v>1360</v>
      </c>
      <c r="BX28" t="s">
        <v>1360</v>
      </c>
      <c r="BY28" t="s">
        <v>1360</v>
      </c>
      <c r="BZ28" t="s">
        <v>1360</v>
      </c>
      <c r="CA28" t="s">
        <v>1360</v>
      </c>
      <c r="CB28" t="s">
        <v>1360</v>
      </c>
      <c r="CC28" t="s">
        <v>1774</v>
      </c>
      <c r="CD28" t="s">
        <v>1360</v>
      </c>
      <c r="CE28" t="s">
        <v>1360</v>
      </c>
      <c r="CF28" t="s">
        <v>1360</v>
      </c>
      <c r="CG28" t="s">
        <v>1360</v>
      </c>
      <c r="CH28" t="s">
        <v>1517</v>
      </c>
      <c r="CI28" t="s">
        <v>1360</v>
      </c>
      <c r="CJ28" t="s">
        <v>1360</v>
      </c>
      <c r="CK28" t="s">
        <v>1360</v>
      </c>
      <c r="CL28" t="s">
        <v>1360</v>
      </c>
      <c r="CM28" t="s">
        <v>1360</v>
      </c>
      <c r="CN28" t="s">
        <v>1360</v>
      </c>
      <c r="CO28" t="s">
        <v>1360</v>
      </c>
      <c r="CP28" t="s">
        <v>1360</v>
      </c>
      <c r="CR28">
        <v>0</v>
      </c>
      <c r="CS28" t="s">
        <v>1360</v>
      </c>
      <c r="CU28" t="s">
        <v>1360</v>
      </c>
      <c r="CV28" t="s">
        <v>1360</v>
      </c>
      <c r="CW28" t="s">
        <v>1360</v>
      </c>
      <c r="CX28" t="s">
        <v>1360</v>
      </c>
      <c r="CY28" t="s">
        <v>1360</v>
      </c>
      <c r="CZ28" t="s">
        <v>1360</v>
      </c>
      <c r="DA28" t="s">
        <v>1360</v>
      </c>
      <c r="DB28" t="s">
        <v>1360</v>
      </c>
      <c r="DC28" t="s">
        <v>1360</v>
      </c>
      <c r="DD28" t="s">
        <v>1360</v>
      </c>
      <c r="DE28" t="s">
        <v>1360</v>
      </c>
      <c r="DG28" t="s">
        <v>1517</v>
      </c>
      <c r="DH28" t="s">
        <v>1360</v>
      </c>
      <c r="DJ28" t="s">
        <v>1360</v>
      </c>
      <c r="DK28" t="s">
        <v>1517</v>
      </c>
      <c r="DL28" t="s">
        <v>1360</v>
      </c>
      <c r="DM28" t="s">
        <v>1360</v>
      </c>
      <c r="DN28" t="s">
        <v>1360</v>
      </c>
      <c r="DO28" t="s">
        <v>1360</v>
      </c>
      <c r="DP28" t="s">
        <v>1360</v>
      </c>
      <c r="DQ28" t="s">
        <v>1360</v>
      </c>
      <c r="DR28">
        <v>0</v>
      </c>
      <c r="DS28" t="s">
        <v>1360</v>
      </c>
      <c r="DT28" t="s">
        <v>1360</v>
      </c>
      <c r="DU28" t="s">
        <v>1360</v>
      </c>
      <c r="DV28" t="s">
        <v>1360</v>
      </c>
      <c r="DW28" t="s">
        <v>1360</v>
      </c>
      <c r="DX28" t="s">
        <v>1360</v>
      </c>
      <c r="DY28" t="s">
        <v>1360</v>
      </c>
      <c r="DZ28" t="s">
        <v>1360</v>
      </c>
      <c r="EA28" t="s">
        <v>1360</v>
      </c>
      <c r="EB28" t="s">
        <v>1360</v>
      </c>
      <c r="EC28" t="s">
        <v>1360</v>
      </c>
      <c r="ED28" t="s">
        <v>1360</v>
      </c>
      <c r="EE28" t="s">
        <v>1360</v>
      </c>
      <c r="EF28">
        <v>0</v>
      </c>
      <c r="EG28" t="s">
        <v>1360</v>
      </c>
      <c r="EH28" t="s">
        <v>1360</v>
      </c>
    </row>
    <row r="29" spans="1:138" hidden="1">
      <c r="A29" t="s">
        <v>1775</v>
      </c>
      <c r="B29" t="s">
        <v>1508</v>
      </c>
      <c r="C29" t="s">
        <v>1592</v>
      </c>
      <c r="D29" t="s">
        <v>1776</v>
      </c>
      <c r="E29" t="s">
        <v>1360</v>
      </c>
      <c r="F29" t="s">
        <v>1360</v>
      </c>
      <c r="G29" t="s">
        <v>35</v>
      </c>
      <c r="H29" t="s">
        <v>1777</v>
      </c>
      <c r="I29" t="s">
        <v>1360</v>
      </c>
      <c r="J29" t="s">
        <v>1360</v>
      </c>
      <c r="K29" t="s">
        <v>1702</v>
      </c>
      <c r="L29" t="s">
        <v>32</v>
      </c>
      <c r="M29" t="s">
        <v>1776</v>
      </c>
      <c r="N29" t="s">
        <v>1778</v>
      </c>
      <c r="O29" t="s">
        <v>1779</v>
      </c>
      <c r="P29" t="s">
        <v>1592</v>
      </c>
      <c r="Q29" t="s">
        <v>1776</v>
      </c>
      <c r="R29" t="s">
        <v>1780</v>
      </c>
      <c r="S29" t="s">
        <v>1360</v>
      </c>
      <c r="T29" t="s">
        <v>1360</v>
      </c>
      <c r="U29" t="s">
        <v>1517</v>
      </c>
      <c r="V29" t="s">
        <v>1517</v>
      </c>
      <c r="W29" t="s">
        <v>1360</v>
      </c>
      <c r="X29" t="s">
        <v>1599</v>
      </c>
      <c r="Y29" t="s">
        <v>1517</v>
      </c>
      <c r="Z29" t="s">
        <v>1360</v>
      </c>
      <c r="AA29" t="s">
        <v>1360</v>
      </c>
      <c r="AB29" t="s">
        <v>1360</v>
      </c>
      <c r="AC29">
        <v>42848</v>
      </c>
      <c r="AD29" t="s">
        <v>1519</v>
      </c>
      <c r="AE29" t="s">
        <v>1360</v>
      </c>
      <c r="AF29" t="s">
        <v>1360</v>
      </c>
      <c r="AG29" t="s">
        <v>1601</v>
      </c>
      <c r="AH29" t="s">
        <v>1360</v>
      </c>
      <c r="AI29" t="s">
        <v>1360</v>
      </c>
      <c r="AJ29" t="s">
        <v>1360</v>
      </c>
      <c r="AK29" t="s">
        <v>1360</v>
      </c>
      <c r="AL29" t="s">
        <v>1360</v>
      </c>
      <c r="AM29" t="s">
        <v>1602</v>
      </c>
      <c r="AN29" t="s">
        <v>1781</v>
      </c>
      <c r="AO29" t="e">
        <f>_xlfn.XLOOKUP(AN29,#REF!,#REF!)</f>
        <v>#REF!</v>
      </c>
      <c r="AP29" t="s">
        <v>1360</v>
      </c>
      <c r="AQ29" t="s">
        <v>1360</v>
      </c>
      <c r="AR29" t="s">
        <v>1360</v>
      </c>
      <c r="AS29" t="s">
        <v>1782</v>
      </c>
      <c r="AT29" t="s">
        <v>1360</v>
      </c>
      <c r="AU29" t="s">
        <v>1360</v>
      </c>
      <c r="AV29" t="s">
        <v>1360</v>
      </c>
      <c r="AW29" t="s">
        <v>1360</v>
      </c>
      <c r="AX29" t="s">
        <v>1360</v>
      </c>
      <c r="AY29" t="s">
        <v>1360</v>
      </c>
      <c r="AZ29" t="s">
        <v>1360</v>
      </c>
      <c r="BA29" t="s">
        <v>1360</v>
      </c>
      <c r="BB29" t="s">
        <v>1360</v>
      </c>
      <c r="BC29" t="s">
        <v>1360</v>
      </c>
      <c r="BD29" t="s">
        <v>1360</v>
      </c>
      <c r="BE29" t="s">
        <v>1360</v>
      </c>
      <c r="BG29" t="s">
        <v>1360</v>
      </c>
      <c r="BH29" t="s">
        <v>1360</v>
      </c>
      <c r="BJ29" t="s">
        <v>1360</v>
      </c>
      <c r="BK29" t="s">
        <v>1360</v>
      </c>
      <c r="BL29" t="s">
        <v>1360</v>
      </c>
      <c r="BM29" t="s">
        <v>1783</v>
      </c>
      <c r="BN29" t="s">
        <v>1360</v>
      </c>
      <c r="BO29" t="s">
        <v>1360</v>
      </c>
      <c r="BP29" t="s">
        <v>1360</v>
      </c>
      <c r="BQ29" t="s">
        <v>1527</v>
      </c>
      <c r="BR29" t="s">
        <v>1697</v>
      </c>
      <c r="BS29" t="s">
        <v>1360</v>
      </c>
      <c r="BT29" t="s">
        <v>1360</v>
      </c>
      <c r="BU29" t="s">
        <v>1360</v>
      </c>
      <c r="BV29" t="s">
        <v>1360</v>
      </c>
      <c r="BW29" t="s">
        <v>1360</v>
      </c>
      <c r="BX29" t="s">
        <v>1360</v>
      </c>
      <c r="BY29" t="s">
        <v>1360</v>
      </c>
      <c r="BZ29" t="s">
        <v>1360</v>
      </c>
      <c r="CA29" t="s">
        <v>1360</v>
      </c>
      <c r="CB29" t="s">
        <v>1360</v>
      </c>
      <c r="CC29" t="s">
        <v>1784</v>
      </c>
      <c r="CD29" t="s">
        <v>1360</v>
      </c>
      <c r="CE29" t="s">
        <v>1360</v>
      </c>
      <c r="CF29" t="s">
        <v>1360</v>
      </c>
      <c r="CG29" t="s">
        <v>1360</v>
      </c>
      <c r="CH29" t="s">
        <v>1517</v>
      </c>
      <c r="CI29" t="s">
        <v>1360</v>
      </c>
      <c r="CJ29" t="s">
        <v>1360</v>
      </c>
      <c r="CK29" t="s">
        <v>1360</v>
      </c>
      <c r="CL29" t="s">
        <v>1360</v>
      </c>
      <c r="CM29" t="s">
        <v>1360</v>
      </c>
      <c r="CN29" t="s">
        <v>1360</v>
      </c>
      <c r="CO29" t="s">
        <v>1360</v>
      </c>
      <c r="CP29" t="s">
        <v>1360</v>
      </c>
      <c r="CR29">
        <v>0</v>
      </c>
      <c r="CS29" t="s">
        <v>1360</v>
      </c>
      <c r="CU29" t="s">
        <v>1360</v>
      </c>
      <c r="CV29" t="s">
        <v>1360</v>
      </c>
      <c r="CW29" t="s">
        <v>1360</v>
      </c>
      <c r="CX29" t="s">
        <v>1360</v>
      </c>
      <c r="CY29" t="s">
        <v>1360</v>
      </c>
      <c r="CZ29" t="s">
        <v>1360</v>
      </c>
      <c r="DA29" t="s">
        <v>1360</v>
      </c>
      <c r="DB29" t="s">
        <v>1360</v>
      </c>
      <c r="DC29" t="s">
        <v>1360</v>
      </c>
      <c r="DD29" t="s">
        <v>1360</v>
      </c>
      <c r="DE29" t="s">
        <v>1360</v>
      </c>
      <c r="DG29" t="s">
        <v>1517</v>
      </c>
      <c r="DH29" t="s">
        <v>1360</v>
      </c>
      <c r="DJ29" t="s">
        <v>1360</v>
      </c>
      <c r="DK29" t="s">
        <v>1517</v>
      </c>
      <c r="DL29" t="s">
        <v>1360</v>
      </c>
      <c r="DM29" t="s">
        <v>1360</v>
      </c>
      <c r="DN29" t="s">
        <v>1360</v>
      </c>
      <c r="DO29" t="s">
        <v>1360</v>
      </c>
      <c r="DP29" t="s">
        <v>1360</v>
      </c>
      <c r="DQ29" t="s">
        <v>1360</v>
      </c>
      <c r="DR29">
        <v>0</v>
      </c>
      <c r="DS29" t="s">
        <v>1360</v>
      </c>
      <c r="DT29" t="s">
        <v>1360</v>
      </c>
      <c r="DU29" t="s">
        <v>1360</v>
      </c>
      <c r="DV29" t="s">
        <v>1360</v>
      </c>
      <c r="DW29" t="s">
        <v>1360</v>
      </c>
      <c r="DX29" t="s">
        <v>1360</v>
      </c>
      <c r="DY29" t="s">
        <v>1360</v>
      </c>
      <c r="DZ29" t="s">
        <v>1360</v>
      </c>
      <c r="EA29" t="s">
        <v>1360</v>
      </c>
      <c r="EB29" t="s">
        <v>1360</v>
      </c>
      <c r="EC29" t="s">
        <v>1360</v>
      </c>
      <c r="ED29" t="s">
        <v>1360</v>
      </c>
      <c r="EE29" t="s">
        <v>1360</v>
      </c>
      <c r="EF29">
        <v>0</v>
      </c>
      <c r="EG29" t="s">
        <v>1360</v>
      </c>
      <c r="EH29" t="s">
        <v>1360</v>
      </c>
    </row>
    <row r="30" spans="1:138" hidden="1">
      <c r="A30" t="s">
        <v>1785</v>
      </c>
      <c r="B30" t="s">
        <v>1508</v>
      </c>
      <c r="C30" t="s">
        <v>1592</v>
      </c>
      <c r="D30" t="s">
        <v>1776</v>
      </c>
      <c r="E30" t="s">
        <v>1360</v>
      </c>
      <c r="F30" t="s">
        <v>1360</v>
      </c>
      <c r="G30" t="s">
        <v>35</v>
      </c>
      <c r="H30" t="s">
        <v>1777</v>
      </c>
      <c r="I30" t="s">
        <v>1360</v>
      </c>
      <c r="J30" t="s">
        <v>1360</v>
      </c>
      <c r="K30" t="s">
        <v>1702</v>
      </c>
      <c r="L30" t="s">
        <v>32</v>
      </c>
      <c r="M30" t="s">
        <v>1776</v>
      </c>
      <c r="N30" t="s">
        <v>1778</v>
      </c>
      <c r="O30" t="s">
        <v>1786</v>
      </c>
      <c r="P30" t="s">
        <v>1592</v>
      </c>
      <c r="Q30" t="s">
        <v>1776</v>
      </c>
      <c r="R30" t="s">
        <v>1780</v>
      </c>
      <c r="S30" t="s">
        <v>1360</v>
      </c>
      <c r="T30" t="s">
        <v>1360</v>
      </c>
      <c r="U30" t="s">
        <v>1517</v>
      </c>
      <c r="V30" t="s">
        <v>1517</v>
      </c>
      <c r="W30" t="s">
        <v>1360</v>
      </c>
      <c r="X30" t="s">
        <v>1599</v>
      </c>
      <c r="Y30" t="s">
        <v>1517</v>
      </c>
      <c r="Z30" t="s">
        <v>1360</v>
      </c>
      <c r="AA30" t="s">
        <v>1360</v>
      </c>
      <c r="AB30" t="s">
        <v>1360</v>
      </c>
      <c r="AC30">
        <v>45309</v>
      </c>
      <c r="AD30" t="s">
        <v>1539</v>
      </c>
      <c r="AE30" t="s">
        <v>1360</v>
      </c>
      <c r="AF30" t="s">
        <v>1360</v>
      </c>
      <c r="AG30" t="s">
        <v>1601</v>
      </c>
      <c r="AH30" t="s">
        <v>1360</v>
      </c>
      <c r="AI30" t="s">
        <v>1360</v>
      </c>
      <c r="AJ30" t="s">
        <v>1360</v>
      </c>
      <c r="AK30" t="s">
        <v>1360</v>
      </c>
      <c r="AL30" t="s">
        <v>1360</v>
      </c>
      <c r="AM30" t="s">
        <v>1602</v>
      </c>
      <c r="AN30" t="s">
        <v>1781</v>
      </c>
      <c r="AO30" t="e">
        <f>_xlfn.XLOOKUP(AN30,#REF!,#REF!)</f>
        <v>#REF!</v>
      </c>
      <c r="AP30" t="s">
        <v>1360</v>
      </c>
      <c r="AQ30" t="s">
        <v>1360</v>
      </c>
      <c r="AR30" t="s">
        <v>1360</v>
      </c>
      <c r="AS30" t="s">
        <v>1787</v>
      </c>
      <c r="AT30" t="s">
        <v>1360</v>
      </c>
      <c r="AU30" t="s">
        <v>1360</v>
      </c>
      <c r="AV30" t="s">
        <v>1360</v>
      </c>
      <c r="AW30" t="s">
        <v>1360</v>
      </c>
      <c r="AX30" t="s">
        <v>1360</v>
      </c>
      <c r="AY30" t="s">
        <v>1360</v>
      </c>
      <c r="AZ30" t="s">
        <v>1360</v>
      </c>
      <c r="BA30" t="s">
        <v>1360</v>
      </c>
      <c r="BB30" t="s">
        <v>1360</v>
      </c>
      <c r="BC30" t="s">
        <v>1360</v>
      </c>
      <c r="BD30" t="s">
        <v>1360</v>
      </c>
      <c r="BE30" t="s">
        <v>1360</v>
      </c>
      <c r="BG30" t="s">
        <v>1360</v>
      </c>
      <c r="BH30" t="s">
        <v>1360</v>
      </c>
      <c r="BJ30" t="s">
        <v>1360</v>
      </c>
      <c r="BK30" t="s">
        <v>1360</v>
      </c>
      <c r="BL30" t="s">
        <v>1360</v>
      </c>
      <c r="BM30" t="s">
        <v>1360</v>
      </c>
      <c r="BN30" t="s">
        <v>1360</v>
      </c>
      <c r="BO30" t="s">
        <v>1360</v>
      </c>
      <c r="BP30" t="s">
        <v>1360</v>
      </c>
      <c r="BQ30" t="s">
        <v>1527</v>
      </c>
      <c r="BR30" t="s">
        <v>1697</v>
      </c>
      <c r="BS30" t="s">
        <v>1360</v>
      </c>
      <c r="BT30" t="s">
        <v>1360</v>
      </c>
      <c r="BU30" t="s">
        <v>1360</v>
      </c>
      <c r="BV30" t="s">
        <v>1360</v>
      </c>
      <c r="BW30" t="s">
        <v>1360</v>
      </c>
      <c r="BX30" t="s">
        <v>1360</v>
      </c>
      <c r="BY30" t="s">
        <v>1360</v>
      </c>
      <c r="BZ30" t="s">
        <v>1360</v>
      </c>
      <c r="CA30" t="s">
        <v>1360</v>
      </c>
      <c r="CB30" t="s">
        <v>1360</v>
      </c>
      <c r="CC30" t="s">
        <v>1784</v>
      </c>
      <c r="CD30" t="s">
        <v>1360</v>
      </c>
      <c r="CE30" t="s">
        <v>1360</v>
      </c>
      <c r="CF30" t="s">
        <v>1360</v>
      </c>
      <c r="CG30" t="s">
        <v>1360</v>
      </c>
      <c r="CH30" t="s">
        <v>1517</v>
      </c>
      <c r="CI30" t="s">
        <v>1360</v>
      </c>
      <c r="CJ30" t="s">
        <v>1360</v>
      </c>
      <c r="CK30" t="s">
        <v>1360</v>
      </c>
      <c r="CL30" t="s">
        <v>1360</v>
      </c>
      <c r="CM30" t="s">
        <v>1360</v>
      </c>
      <c r="CN30" t="s">
        <v>1360</v>
      </c>
      <c r="CO30" t="s">
        <v>1360</v>
      </c>
      <c r="CP30" t="s">
        <v>1360</v>
      </c>
      <c r="CR30">
        <v>0</v>
      </c>
      <c r="CS30" t="s">
        <v>1360</v>
      </c>
      <c r="CU30" t="s">
        <v>1360</v>
      </c>
      <c r="CV30" t="s">
        <v>1360</v>
      </c>
      <c r="CW30" t="s">
        <v>1360</v>
      </c>
      <c r="CX30" t="s">
        <v>1360</v>
      </c>
      <c r="CY30" t="s">
        <v>1360</v>
      </c>
      <c r="CZ30" t="s">
        <v>1360</v>
      </c>
      <c r="DA30" t="s">
        <v>1360</v>
      </c>
      <c r="DB30" t="s">
        <v>1360</v>
      </c>
      <c r="DC30" t="s">
        <v>1360</v>
      </c>
      <c r="DD30" t="s">
        <v>1360</v>
      </c>
      <c r="DE30" t="s">
        <v>1360</v>
      </c>
      <c r="DG30" t="s">
        <v>1517</v>
      </c>
      <c r="DH30" t="s">
        <v>1360</v>
      </c>
      <c r="DJ30" t="s">
        <v>1360</v>
      </c>
      <c r="DK30" t="s">
        <v>1517</v>
      </c>
      <c r="DL30" t="s">
        <v>1360</v>
      </c>
      <c r="DM30" t="s">
        <v>1360</v>
      </c>
      <c r="DN30" t="s">
        <v>1360</v>
      </c>
      <c r="DO30" t="s">
        <v>1360</v>
      </c>
      <c r="DP30" t="s">
        <v>1360</v>
      </c>
      <c r="DQ30" t="s">
        <v>1360</v>
      </c>
      <c r="DR30">
        <v>0</v>
      </c>
      <c r="DS30" t="s">
        <v>1360</v>
      </c>
      <c r="DT30" t="s">
        <v>1360</v>
      </c>
      <c r="DU30" t="s">
        <v>1360</v>
      </c>
      <c r="DV30" t="s">
        <v>1360</v>
      </c>
      <c r="DW30" t="s">
        <v>1360</v>
      </c>
      <c r="DX30" t="s">
        <v>1360</v>
      </c>
      <c r="DY30" t="s">
        <v>1360</v>
      </c>
      <c r="DZ30" t="s">
        <v>1360</v>
      </c>
      <c r="EA30" t="s">
        <v>1360</v>
      </c>
      <c r="EB30" t="s">
        <v>1360</v>
      </c>
      <c r="EC30" t="s">
        <v>1360</v>
      </c>
      <c r="ED30" t="s">
        <v>1360</v>
      </c>
      <c r="EE30" t="s">
        <v>1360</v>
      </c>
      <c r="EF30">
        <v>0</v>
      </c>
      <c r="EG30" t="s">
        <v>1360</v>
      </c>
      <c r="EH30" t="s">
        <v>1360</v>
      </c>
    </row>
    <row r="31" spans="1:138" hidden="1">
      <c r="A31" t="s">
        <v>1788</v>
      </c>
      <c r="B31" t="s">
        <v>1508</v>
      </c>
      <c r="C31" t="s">
        <v>1592</v>
      </c>
      <c r="D31" t="s">
        <v>1789</v>
      </c>
      <c r="E31" t="s">
        <v>1360</v>
      </c>
      <c r="F31" t="s">
        <v>1360</v>
      </c>
      <c r="G31" t="s">
        <v>68</v>
      </c>
      <c r="H31" t="s">
        <v>1790</v>
      </c>
      <c r="I31" t="s">
        <v>1360</v>
      </c>
      <c r="J31" t="s">
        <v>1360</v>
      </c>
      <c r="K31" t="s">
        <v>1791</v>
      </c>
      <c r="L31" t="s">
        <v>69</v>
      </c>
      <c r="M31" t="s">
        <v>1789</v>
      </c>
      <c r="N31" t="s">
        <v>1792</v>
      </c>
      <c r="O31" t="s">
        <v>1793</v>
      </c>
      <c r="P31" t="s">
        <v>1592</v>
      </c>
      <c r="Q31" t="s">
        <v>1789</v>
      </c>
      <c r="R31" t="s">
        <v>1587</v>
      </c>
      <c r="S31" t="s">
        <v>1360</v>
      </c>
      <c r="T31" t="s">
        <v>1360</v>
      </c>
      <c r="U31" t="s">
        <v>1517</v>
      </c>
      <c r="V31" t="s">
        <v>1517</v>
      </c>
      <c r="W31" t="s">
        <v>1360</v>
      </c>
      <c r="X31" t="s">
        <v>1599</v>
      </c>
      <c r="Y31" t="s">
        <v>1517</v>
      </c>
      <c r="Z31" t="s">
        <v>1360</v>
      </c>
      <c r="AA31" t="s">
        <v>1360</v>
      </c>
      <c r="AB31" t="s">
        <v>1360</v>
      </c>
      <c r="AC31">
        <v>42848</v>
      </c>
      <c r="AD31" t="s">
        <v>1519</v>
      </c>
      <c r="AE31" t="s">
        <v>1360</v>
      </c>
      <c r="AF31" t="s">
        <v>1360</v>
      </c>
      <c r="AG31" t="s">
        <v>1601</v>
      </c>
      <c r="AH31" t="s">
        <v>1788</v>
      </c>
      <c r="AI31" t="s">
        <v>1360</v>
      </c>
      <c r="AJ31" t="s">
        <v>1360</v>
      </c>
      <c r="AK31" t="s">
        <v>1360</v>
      </c>
      <c r="AL31" t="s">
        <v>1360</v>
      </c>
      <c r="AM31" t="s">
        <v>1602</v>
      </c>
      <c r="AN31" t="s">
        <v>1794</v>
      </c>
      <c r="AO31" t="e">
        <f>_xlfn.XLOOKUP(AN31,#REF!,#REF!)</f>
        <v>#REF!</v>
      </c>
      <c r="AP31" t="s">
        <v>1360</v>
      </c>
      <c r="AQ31" t="s">
        <v>1360</v>
      </c>
      <c r="AR31" t="s">
        <v>1360</v>
      </c>
      <c r="AS31" t="s">
        <v>1604</v>
      </c>
      <c r="AT31" t="s">
        <v>1360</v>
      </c>
      <c r="AU31" t="s">
        <v>1360</v>
      </c>
      <c r="AV31" t="s">
        <v>1360</v>
      </c>
      <c r="AW31" t="s">
        <v>1360</v>
      </c>
      <c r="AX31" t="s">
        <v>1360</v>
      </c>
      <c r="AY31" t="s">
        <v>1360</v>
      </c>
      <c r="AZ31" t="s">
        <v>1360</v>
      </c>
      <c r="BA31" t="s">
        <v>1360</v>
      </c>
      <c r="BB31" t="s">
        <v>1360</v>
      </c>
      <c r="BC31" t="s">
        <v>1360</v>
      </c>
      <c r="BD31" t="s">
        <v>1360</v>
      </c>
      <c r="BE31" t="s">
        <v>1360</v>
      </c>
      <c r="BG31" t="s">
        <v>1360</v>
      </c>
      <c r="BH31" t="s">
        <v>1360</v>
      </c>
      <c r="BJ31" t="s">
        <v>1360</v>
      </c>
      <c r="BK31" t="s">
        <v>1360</v>
      </c>
      <c r="BL31" t="s">
        <v>1360</v>
      </c>
      <c r="BM31" t="s">
        <v>1795</v>
      </c>
      <c r="BN31" t="s">
        <v>1360</v>
      </c>
      <c r="BO31" t="s">
        <v>1360</v>
      </c>
      <c r="BP31" t="s">
        <v>1360</v>
      </c>
      <c r="BQ31" t="s">
        <v>1527</v>
      </c>
      <c r="BR31" t="s">
        <v>1590</v>
      </c>
      <c r="BS31" t="s">
        <v>1360</v>
      </c>
      <c r="BT31" t="s">
        <v>1360</v>
      </c>
      <c r="BU31" t="s">
        <v>1360</v>
      </c>
      <c r="BV31" t="s">
        <v>1360</v>
      </c>
      <c r="BW31" t="s">
        <v>1360</v>
      </c>
      <c r="BX31" t="s">
        <v>1360</v>
      </c>
      <c r="BY31" t="s">
        <v>1360</v>
      </c>
      <c r="BZ31" t="s">
        <v>1360</v>
      </c>
      <c r="CA31" t="s">
        <v>1360</v>
      </c>
      <c r="CB31" t="s">
        <v>1360</v>
      </c>
      <c r="CC31" t="s">
        <v>1796</v>
      </c>
      <c r="CD31" t="s">
        <v>1360</v>
      </c>
      <c r="CE31" t="s">
        <v>1360</v>
      </c>
      <c r="CF31" t="s">
        <v>1360</v>
      </c>
      <c r="CG31" t="s">
        <v>1360</v>
      </c>
      <c r="CH31" t="s">
        <v>1517</v>
      </c>
      <c r="CI31" t="s">
        <v>1360</v>
      </c>
      <c r="CJ31" t="s">
        <v>1360</v>
      </c>
      <c r="CK31" t="s">
        <v>1360</v>
      </c>
      <c r="CL31" t="s">
        <v>1360</v>
      </c>
      <c r="CM31" t="s">
        <v>1360</v>
      </c>
      <c r="CN31" t="s">
        <v>1360</v>
      </c>
      <c r="CO31" t="s">
        <v>1360</v>
      </c>
      <c r="CP31" t="s">
        <v>1360</v>
      </c>
      <c r="CR31">
        <v>0</v>
      </c>
      <c r="CS31" t="s">
        <v>1360</v>
      </c>
      <c r="CU31" t="s">
        <v>1360</v>
      </c>
      <c r="CV31" t="s">
        <v>1360</v>
      </c>
      <c r="CW31" t="s">
        <v>1360</v>
      </c>
      <c r="CX31" t="s">
        <v>1360</v>
      </c>
      <c r="CY31" t="s">
        <v>1360</v>
      </c>
      <c r="CZ31" t="s">
        <v>1360</v>
      </c>
      <c r="DA31" t="s">
        <v>1360</v>
      </c>
      <c r="DB31" t="s">
        <v>1360</v>
      </c>
      <c r="DC31" t="s">
        <v>1360</v>
      </c>
      <c r="DD31" t="s">
        <v>1360</v>
      </c>
      <c r="DE31" t="s">
        <v>1360</v>
      </c>
      <c r="DG31" t="s">
        <v>1517</v>
      </c>
      <c r="DH31" t="s">
        <v>1360</v>
      </c>
      <c r="DJ31" t="s">
        <v>1360</v>
      </c>
      <c r="DK31" t="s">
        <v>1517</v>
      </c>
      <c r="DL31" t="s">
        <v>1360</v>
      </c>
      <c r="DM31" t="s">
        <v>1360</v>
      </c>
      <c r="DN31" t="s">
        <v>1360</v>
      </c>
      <c r="DO31" t="s">
        <v>1360</v>
      </c>
      <c r="DP31" t="s">
        <v>1360</v>
      </c>
      <c r="DQ31" t="s">
        <v>1360</v>
      </c>
      <c r="DR31">
        <v>0</v>
      </c>
      <c r="DS31" t="s">
        <v>1360</v>
      </c>
      <c r="DT31" t="s">
        <v>1360</v>
      </c>
      <c r="DU31" t="s">
        <v>1360</v>
      </c>
      <c r="DV31" t="s">
        <v>1360</v>
      </c>
      <c r="DW31" t="s">
        <v>1360</v>
      </c>
      <c r="DX31" t="s">
        <v>1360</v>
      </c>
      <c r="DY31" t="s">
        <v>1360</v>
      </c>
      <c r="DZ31" t="s">
        <v>1360</v>
      </c>
      <c r="EA31" t="s">
        <v>1360</v>
      </c>
      <c r="EB31" t="s">
        <v>1360</v>
      </c>
      <c r="EC31" t="s">
        <v>1360</v>
      </c>
      <c r="ED31" t="s">
        <v>1360</v>
      </c>
      <c r="EE31" t="s">
        <v>1360</v>
      </c>
      <c r="EF31">
        <v>0</v>
      </c>
      <c r="EG31" t="s">
        <v>1360</v>
      </c>
      <c r="EH31" t="s">
        <v>1360</v>
      </c>
    </row>
    <row r="32" spans="1:138" hidden="1">
      <c r="A32" t="s">
        <v>1797</v>
      </c>
      <c r="B32" t="s">
        <v>1508</v>
      </c>
      <c r="C32" t="s">
        <v>1592</v>
      </c>
      <c r="D32" t="s">
        <v>1798</v>
      </c>
      <c r="E32" t="s">
        <v>1360</v>
      </c>
      <c r="F32" t="s">
        <v>1360</v>
      </c>
      <c r="G32" t="s">
        <v>1799</v>
      </c>
      <c r="H32" t="s">
        <v>1800</v>
      </c>
      <c r="I32" t="s">
        <v>1360</v>
      </c>
      <c r="J32" t="s">
        <v>1360</v>
      </c>
      <c r="K32" t="s">
        <v>1801</v>
      </c>
      <c r="L32" t="s">
        <v>10</v>
      </c>
      <c r="M32" t="s">
        <v>1798</v>
      </c>
      <c r="N32" t="s">
        <v>1802</v>
      </c>
      <c r="O32" t="s">
        <v>1803</v>
      </c>
      <c r="P32" t="s">
        <v>1592</v>
      </c>
      <c r="Q32" t="s">
        <v>1798</v>
      </c>
      <c r="R32" t="s">
        <v>1799</v>
      </c>
      <c r="S32" t="s">
        <v>1360</v>
      </c>
      <c r="T32" t="s">
        <v>1360</v>
      </c>
      <c r="U32" t="s">
        <v>1517</v>
      </c>
      <c r="V32" t="s">
        <v>1517</v>
      </c>
      <c r="W32" t="s">
        <v>1360</v>
      </c>
      <c r="X32" t="s">
        <v>1599</v>
      </c>
      <c r="Y32" t="s">
        <v>1517</v>
      </c>
      <c r="Z32" t="s">
        <v>1360</v>
      </c>
      <c r="AA32" t="s">
        <v>1360</v>
      </c>
      <c r="AB32" t="s">
        <v>1360</v>
      </c>
      <c r="AC32">
        <v>42848</v>
      </c>
      <c r="AD32" t="s">
        <v>1519</v>
      </c>
      <c r="AE32" t="s">
        <v>1360</v>
      </c>
      <c r="AF32" t="s">
        <v>1360</v>
      </c>
      <c r="AG32" t="s">
        <v>1601</v>
      </c>
      <c r="AH32" t="s">
        <v>1797</v>
      </c>
      <c r="AI32" t="s">
        <v>1360</v>
      </c>
      <c r="AJ32" t="s">
        <v>1360</v>
      </c>
      <c r="AK32" t="s">
        <v>1360</v>
      </c>
      <c r="AL32" t="s">
        <v>1360</v>
      </c>
      <c r="AM32" t="s">
        <v>1602</v>
      </c>
      <c r="AN32" t="s">
        <v>1804</v>
      </c>
      <c r="AO32" t="e">
        <f>_xlfn.XLOOKUP(AN32,#REF!,#REF!)</f>
        <v>#REF!</v>
      </c>
      <c r="AP32" t="s">
        <v>1360</v>
      </c>
      <c r="AQ32" t="s">
        <v>1360</v>
      </c>
      <c r="AR32" t="s">
        <v>1360</v>
      </c>
      <c r="AS32" t="s">
        <v>1604</v>
      </c>
      <c r="AT32" t="s">
        <v>1360</v>
      </c>
      <c r="AU32" t="s">
        <v>1360</v>
      </c>
      <c r="AV32" t="s">
        <v>1360</v>
      </c>
      <c r="AW32" t="s">
        <v>1360</v>
      </c>
      <c r="AX32" t="s">
        <v>1360</v>
      </c>
      <c r="AY32" t="s">
        <v>1360</v>
      </c>
      <c r="AZ32" t="s">
        <v>1360</v>
      </c>
      <c r="BA32" t="s">
        <v>1360</v>
      </c>
      <c r="BB32" t="s">
        <v>1360</v>
      </c>
      <c r="BC32" t="s">
        <v>1360</v>
      </c>
      <c r="BD32" t="s">
        <v>1360</v>
      </c>
      <c r="BE32" t="s">
        <v>1360</v>
      </c>
      <c r="BG32" t="s">
        <v>1360</v>
      </c>
      <c r="BH32" t="s">
        <v>1360</v>
      </c>
      <c r="BJ32" t="s">
        <v>1360</v>
      </c>
      <c r="BK32" t="s">
        <v>1360</v>
      </c>
      <c r="BL32" t="s">
        <v>1360</v>
      </c>
      <c r="BM32" t="s">
        <v>1805</v>
      </c>
      <c r="BN32" t="s">
        <v>1360</v>
      </c>
      <c r="BO32" t="s">
        <v>1360</v>
      </c>
      <c r="BP32" t="s">
        <v>1360</v>
      </c>
      <c r="BQ32" t="s">
        <v>1527</v>
      </c>
      <c r="BR32" t="s">
        <v>1806</v>
      </c>
      <c r="BS32" t="s">
        <v>1360</v>
      </c>
      <c r="BT32" t="s">
        <v>1360</v>
      </c>
      <c r="BU32" t="s">
        <v>1360</v>
      </c>
      <c r="BV32" t="s">
        <v>1360</v>
      </c>
      <c r="BW32" t="s">
        <v>1360</v>
      </c>
      <c r="BX32" t="s">
        <v>1360</v>
      </c>
      <c r="BY32" t="s">
        <v>1360</v>
      </c>
      <c r="BZ32" t="s">
        <v>1360</v>
      </c>
      <c r="CA32" t="s">
        <v>1360</v>
      </c>
      <c r="CB32" t="s">
        <v>1360</v>
      </c>
      <c r="CC32" t="s">
        <v>1807</v>
      </c>
      <c r="CD32" t="s">
        <v>1360</v>
      </c>
      <c r="CE32" t="s">
        <v>1360</v>
      </c>
      <c r="CF32" t="s">
        <v>1360</v>
      </c>
      <c r="CG32" t="s">
        <v>1360</v>
      </c>
      <c r="CH32" t="s">
        <v>1517</v>
      </c>
      <c r="CI32" t="s">
        <v>1360</v>
      </c>
      <c r="CJ32" t="s">
        <v>1360</v>
      </c>
      <c r="CK32" t="s">
        <v>1360</v>
      </c>
      <c r="CL32" t="s">
        <v>1360</v>
      </c>
      <c r="CM32" t="s">
        <v>1360</v>
      </c>
      <c r="CN32" t="s">
        <v>1360</v>
      </c>
      <c r="CO32" t="s">
        <v>1360</v>
      </c>
      <c r="CP32" t="s">
        <v>1360</v>
      </c>
      <c r="CR32">
        <v>0</v>
      </c>
      <c r="CS32" t="s">
        <v>1360</v>
      </c>
      <c r="CU32" t="s">
        <v>1360</v>
      </c>
      <c r="CV32" t="s">
        <v>1360</v>
      </c>
      <c r="CW32" t="s">
        <v>1360</v>
      </c>
      <c r="CX32" t="s">
        <v>1360</v>
      </c>
      <c r="CY32" t="s">
        <v>1360</v>
      </c>
      <c r="CZ32" t="s">
        <v>1360</v>
      </c>
      <c r="DA32" t="s">
        <v>1360</v>
      </c>
      <c r="DB32" t="s">
        <v>1360</v>
      </c>
      <c r="DC32" t="s">
        <v>1360</v>
      </c>
      <c r="DD32" t="s">
        <v>1360</v>
      </c>
      <c r="DE32" t="s">
        <v>1360</v>
      </c>
      <c r="DG32" t="s">
        <v>1517</v>
      </c>
      <c r="DH32" t="s">
        <v>1360</v>
      </c>
      <c r="DJ32" t="s">
        <v>1360</v>
      </c>
      <c r="DK32" t="s">
        <v>1517</v>
      </c>
      <c r="DL32" t="s">
        <v>1360</v>
      </c>
      <c r="DM32" t="s">
        <v>1360</v>
      </c>
      <c r="DN32" t="s">
        <v>1360</v>
      </c>
      <c r="DO32" t="s">
        <v>1360</v>
      </c>
      <c r="DP32" t="s">
        <v>1360</v>
      </c>
      <c r="DQ32" t="s">
        <v>1360</v>
      </c>
      <c r="DR32">
        <v>0</v>
      </c>
      <c r="DS32" t="s">
        <v>1360</v>
      </c>
      <c r="DT32" t="s">
        <v>1360</v>
      </c>
      <c r="DU32" t="s">
        <v>1360</v>
      </c>
      <c r="DV32" t="s">
        <v>1360</v>
      </c>
      <c r="DW32" t="s">
        <v>1360</v>
      </c>
      <c r="DX32" t="s">
        <v>1360</v>
      </c>
      <c r="DY32" t="s">
        <v>1360</v>
      </c>
      <c r="DZ32" t="s">
        <v>1360</v>
      </c>
      <c r="EA32" t="s">
        <v>1360</v>
      </c>
      <c r="EB32" t="s">
        <v>1360</v>
      </c>
      <c r="EC32" t="s">
        <v>1360</v>
      </c>
      <c r="ED32" t="s">
        <v>1360</v>
      </c>
      <c r="EE32" t="s">
        <v>1360</v>
      </c>
      <c r="EF32">
        <v>0</v>
      </c>
      <c r="EG32" t="s">
        <v>1360</v>
      </c>
      <c r="EH32" t="s">
        <v>1360</v>
      </c>
    </row>
    <row r="33" spans="1:138" hidden="1">
      <c r="A33" t="s">
        <v>1808</v>
      </c>
      <c r="B33" t="s">
        <v>1508</v>
      </c>
      <c r="C33" t="s">
        <v>1592</v>
      </c>
      <c r="D33" t="s">
        <v>1809</v>
      </c>
      <c r="E33" t="s">
        <v>1360</v>
      </c>
      <c r="F33" t="s">
        <v>1360</v>
      </c>
      <c r="G33" t="s">
        <v>1560</v>
      </c>
      <c r="H33" t="s">
        <v>1810</v>
      </c>
      <c r="I33" t="s">
        <v>1360</v>
      </c>
      <c r="J33" t="s">
        <v>1360</v>
      </c>
      <c r="K33" t="s">
        <v>1811</v>
      </c>
      <c r="L33" t="s">
        <v>75</v>
      </c>
      <c r="M33" t="s">
        <v>1809</v>
      </c>
      <c r="N33" t="s">
        <v>1812</v>
      </c>
      <c r="O33" t="s">
        <v>1813</v>
      </c>
      <c r="P33" t="s">
        <v>1592</v>
      </c>
      <c r="Q33" t="s">
        <v>1809</v>
      </c>
      <c r="R33" t="s">
        <v>1560</v>
      </c>
      <c r="S33" t="s">
        <v>1360</v>
      </c>
      <c r="T33" t="s">
        <v>1360</v>
      </c>
      <c r="U33" t="s">
        <v>1517</v>
      </c>
      <c r="V33" t="s">
        <v>1517</v>
      </c>
      <c r="W33" t="s">
        <v>1360</v>
      </c>
      <c r="X33" t="s">
        <v>1814</v>
      </c>
      <c r="Y33" t="s">
        <v>1517</v>
      </c>
      <c r="Z33" t="s">
        <v>1360</v>
      </c>
      <c r="AA33" t="s">
        <v>1360</v>
      </c>
      <c r="AB33" t="s">
        <v>1360</v>
      </c>
      <c r="AC33">
        <v>42848</v>
      </c>
      <c r="AD33" t="s">
        <v>1519</v>
      </c>
      <c r="AE33" t="s">
        <v>1360</v>
      </c>
      <c r="AF33" t="s">
        <v>1360</v>
      </c>
      <c r="AG33" t="s">
        <v>1601</v>
      </c>
      <c r="AH33" t="s">
        <v>1808</v>
      </c>
      <c r="AI33" t="s">
        <v>1360</v>
      </c>
      <c r="AJ33" t="s">
        <v>1360</v>
      </c>
      <c r="AK33" t="s">
        <v>1360</v>
      </c>
      <c r="AL33" t="s">
        <v>1360</v>
      </c>
      <c r="AM33" t="s">
        <v>1602</v>
      </c>
      <c r="AN33" t="s">
        <v>1815</v>
      </c>
      <c r="AO33" t="e">
        <f>_xlfn.XLOOKUP(AN33,#REF!,#REF!)</f>
        <v>#REF!</v>
      </c>
      <c r="AP33" t="s">
        <v>1360</v>
      </c>
      <c r="AQ33" t="s">
        <v>1360</v>
      </c>
      <c r="AR33" t="s">
        <v>1360</v>
      </c>
      <c r="AS33" t="s">
        <v>1604</v>
      </c>
      <c r="AT33" t="s">
        <v>1360</v>
      </c>
      <c r="AU33" t="s">
        <v>1360</v>
      </c>
      <c r="AV33" t="s">
        <v>1360</v>
      </c>
      <c r="AW33" t="s">
        <v>1360</v>
      </c>
      <c r="AX33" t="s">
        <v>1360</v>
      </c>
      <c r="AY33" t="s">
        <v>1360</v>
      </c>
      <c r="AZ33" t="s">
        <v>1360</v>
      </c>
      <c r="BA33" t="s">
        <v>1360</v>
      </c>
      <c r="BB33" t="s">
        <v>1360</v>
      </c>
      <c r="BC33" t="s">
        <v>1360</v>
      </c>
      <c r="BD33" t="s">
        <v>1360</v>
      </c>
      <c r="BE33" t="s">
        <v>1360</v>
      </c>
      <c r="BG33" t="s">
        <v>1360</v>
      </c>
      <c r="BH33" t="s">
        <v>1360</v>
      </c>
      <c r="BJ33" t="s">
        <v>1360</v>
      </c>
      <c r="BK33" t="s">
        <v>1360</v>
      </c>
      <c r="BL33" t="s">
        <v>1360</v>
      </c>
      <c r="BM33" t="s">
        <v>1816</v>
      </c>
      <c r="BN33" t="s">
        <v>1360</v>
      </c>
      <c r="BO33" t="s">
        <v>1360</v>
      </c>
      <c r="BP33" t="s">
        <v>1360</v>
      </c>
      <c r="BQ33" t="s">
        <v>1527</v>
      </c>
      <c r="BR33" t="s">
        <v>1817</v>
      </c>
      <c r="BS33" t="s">
        <v>1360</v>
      </c>
      <c r="BT33" t="s">
        <v>1360</v>
      </c>
      <c r="BU33" t="s">
        <v>1360</v>
      </c>
      <c r="BV33" t="s">
        <v>1360</v>
      </c>
      <c r="BW33" t="s">
        <v>1360</v>
      </c>
      <c r="BX33" t="s">
        <v>1360</v>
      </c>
      <c r="BY33" t="s">
        <v>1360</v>
      </c>
      <c r="BZ33" t="s">
        <v>1360</v>
      </c>
      <c r="CA33" t="s">
        <v>1360</v>
      </c>
      <c r="CB33" t="s">
        <v>1360</v>
      </c>
      <c r="CC33" t="s">
        <v>1818</v>
      </c>
      <c r="CD33" t="s">
        <v>1360</v>
      </c>
      <c r="CE33" t="s">
        <v>1360</v>
      </c>
      <c r="CF33" t="s">
        <v>1360</v>
      </c>
      <c r="CG33" t="s">
        <v>1360</v>
      </c>
      <c r="CH33" t="s">
        <v>1517</v>
      </c>
      <c r="CI33" t="s">
        <v>1360</v>
      </c>
      <c r="CJ33" t="s">
        <v>1360</v>
      </c>
      <c r="CK33" t="s">
        <v>1360</v>
      </c>
      <c r="CL33" t="s">
        <v>1360</v>
      </c>
      <c r="CM33" t="s">
        <v>1360</v>
      </c>
      <c r="CN33" t="s">
        <v>1360</v>
      </c>
      <c r="CO33" t="s">
        <v>1360</v>
      </c>
      <c r="CP33" t="s">
        <v>1360</v>
      </c>
      <c r="CR33">
        <v>0</v>
      </c>
      <c r="CS33" t="s">
        <v>1360</v>
      </c>
      <c r="CU33" t="s">
        <v>1360</v>
      </c>
      <c r="CV33" t="s">
        <v>1360</v>
      </c>
      <c r="CW33" t="s">
        <v>1360</v>
      </c>
      <c r="CX33" t="s">
        <v>1360</v>
      </c>
      <c r="CY33" t="s">
        <v>1360</v>
      </c>
      <c r="CZ33" t="s">
        <v>1360</v>
      </c>
      <c r="DA33" t="s">
        <v>1360</v>
      </c>
      <c r="DB33" t="s">
        <v>1360</v>
      </c>
      <c r="DC33" t="s">
        <v>1360</v>
      </c>
      <c r="DD33" t="s">
        <v>1360</v>
      </c>
      <c r="DE33" t="s">
        <v>1360</v>
      </c>
      <c r="DG33" t="s">
        <v>1517</v>
      </c>
      <c r="DH33" t="s">
        <v>1360</v>
      </c>
      <c r="DJ33" t="s">
        <v>1360</v>
      </c>
      <c r="DK33" t="s">
        <v>1517</v>
      </c>
      <c r="DL33" t="s">
        <v>1360</v>
      </c>
      <c r="DM33" t="s">
        <v>1360</v>
      </c>
      <c r="DN33" t="s">
        <v>1360</v>
      </c>
      <c r="DO33" t="s">
        <v>1360</v>
      </c>
      <c r="DP33" t="s">
        <v>1360</v>
      </c>
      <c r="DQ33" t="s">
        <v>1360</v>
      </c>
      <c r="DR33">
        <v>0</v>
      </c>
      <c r="DS33" t="s">
        <v>1360</v>
      </c>
      <c r="DT33" t="s">
        <v>1360</v>
      </c>
      <c r="DU33" t="s">
        <v>1360</v>
      </c>
      <c r="DV33" t="s">
        <v>1360</v>
      </c>
      <c r="DW33" t="s">
        <v>1360</v>
      </c>
      <c r="DX33" t="s">
        <v>1360</v>
      </c>
      <c r="DY33" t="s">
        <v>1360</v>
      </c>
      <c r="DZ33" t="s">
        <v>1360</v>
      </c>
      <c r="EA33" t="s">
        <v>1360</v>
      </c>
      <c r="EB33" t="s">
        <v>1360</v>
      </c>
      <c r="EC33" t="s">
        <v>1360</v>
      </c>
      <c r="ED33" t="s">
        <v>1360</v>
      </c>
      <c r="EE33" t="s">
        <v>1360</v>
      </c>
      <c r="EF33">
        <v>0</v>
      </c>
      <c r="EG33" t="s">
        <v>1360</v>
      </c>
      <c r="EH33" t="s">
        <v>1360</v>
      </c>
    </row>
    <row r="34" spans="1:138" hidden="1">
      <c r="A34" t="s">
        <v>1819</v>
      </c>
      <c r="B34" t="s">
        <v>1508</v>
      </c>
      <c r="C34" t="s">
        <v>1592</v>
      </c>
      <c r="D34" t="s">
        <v>1820</v>
      </c>
      <c r="E34" t="s">
        <v>1360</v>
      </c>
      <c r="F34" t="s">
        <v>1360</v>
      </c>
      <c r="G34" t="s">
        <v>13</v>
      </c>
      <c r="H34" t="s">
        <v>1821</v>
      </c>
      <c r="I34" t="s">
        <v>1360</v>
      </c>
      <c r="J34" t="s">
        <v>1360</v>
      </c>
      <c r="K34" t="s">
        <v>1822</v>
      </c>
      <c r="L34" t="s">
        <v>14</v>
      </c>
      <c r="M34" t="s">
        <v>1820</v>
      </c>
      <c r="N34" t="s">
        <v>1823</v>
      </c>
      <c r="O34" t="s">
        <v>1824</v>
      </c>
      <c r="P34" t="s">
        <v>1592</v>
      </c>
      <c r="Q34" t="s">
        <v>1820</v>
      </c>
      <c r="R34" t="s">
        <v>1825</v>
      </c>
      <c r="S34" t="s">
        <v>1360</v>
      </c>
      <c r="T34" t="s">
        <v>1360</v>
      </c>
      <c r="U34" t="s">
        <v>1517</v>
      </c>
      <c r="V34" t="s">
        <v>1517</v>
      </c>
      <c r="W34" t="s">
        <v>1360</v>
      </c>
      <c r="X34" t="s">
        <v>1599</v>
      </c>
      <c r="Y34" t="s">
        <v>1517</v>
      </c>
      <c r="Z34" t="s">
        <v>1360</v>
      </c>
      <c r="AA34" t="s">
        <v>1360</v>
      </c>
      <c r="AB34" t="s">
        <v>1360</v>
      </c>
      <c r="AC34">
        <v>42848</v>
      </c>
      <c r="AD34" t="s">
        <v>1519</v>
      </c>
      <c r="AE34" t="s">
        <v>1360</v>
      </c>
      <c r="AF34" t="s">
        <v>1360</v>
      </c>
      <c r="AG34" t="s">
        <v>1601</v>
      </c>
      <c r="AH34" t="s">
        <v>1819</v>
      </c>
      <c r="AI34" t="s">
        <v>1360</v>
      </c>
      <c r="AJ34" t="s">
        <v>1360</v>
      </c>
      <c r="AK34" t="s">
        <v>1360</v>
      </c>
      <c r="AL34" t="s">
        <v>1360</v>
      </c>
      <c r="AM34" t="s">
        <v>1602</v>
      </c>
      <c r="AN34" t="s">
        <v>1826</v>
      </c>
      <c r="AO34" t="e">
        <f>_xlfn.XLOOKUP(AN34,#REF!,#REF!)</f>
        <v>#REF!</v>
      </c>
      <c r="AP34" t="s">
        <v>1360</v>
      </c>
      <c r="AQ34" t="s">
        <v>1360</v>
      </c>
      <c r="AR34" t="s">
        <v>1360</v>
      </c>
      <c r="AS34" t="s">
        <v>1604</v>
      </c>
      <c r="AT34" t="s">
        <v>1360</v>
      </c>
      <c r="AU34" t="s">
        <v>1360</v>
      </c>
      <c r="AV34" t="s">
        <v>1360</v>
      </c>
      <c r="AW34" t="s">
        <v>1360</v>
      </c>
      <c r="AX34" t="s">
        <v>1360</v>
      </c>
      <c r="AY34" t="s">
        <v>1360</v>
      </c>
      <c r="AZ34" t="s">
        <v>1360</v>
      </c>
      <c r="BA34" t="s">
        <v>1360</v>
      </c>
      <c r="BB34" t="s">
        <v>1360</v>
      </c>
      <c r="BC34" t="s">
        <v>1360</v>
      </c>
      <c r="BD34" t="s">
        <v>1360</v>
      </c>
      <c r="BE34" t="s">
        <v>1360</v>
      </c>
      <c r="BG34" t="s">
        <v>1360</v>
      </c>
      <c r="BH34" t="s">
        <v>1360</v>
      </c>
      <c r="BJ34" t="s">
        <v>1360</v>
      </c>
      <c r="BK34" t="s">
        <v>1360</v>
      </c>
      <c r="BL34" t="s">
        <v>1360</v>
      </c>
      <c r="BM34" t="s">
        <v>1827</v>
      </c>
      <c r="BN34" t="s">
        <v>1360</v>
      </c>
      <c r="BO34" t="s">
        <v>1360</v>
      </c>
      <c r="BP34" t="s">
        <v>1360</v>
      </c>
      <c r="BQ34" t="s">
        <v>1527</v>
      </c>
      <c r="BR34" t="s">
        <v>1828</v>
      </c>
      <c r="BS34" t="s">
        <v>1360</v>
      </c>
      <c r="BT34" t="s">
        <v>1360</v>
      </c>
      <c r="BU34" t="s">
        <v>1360</v>
      </c>
      <c r="BV34" t="s">
        <v>1360</v>
      </c>
      <c r="BW34" t="s">
        <v>1360</v>
      </c>
      <c r="BX34" t="s">
        <v>1360</v>
      </c>
      <c r="BY34" t="s">
        <v>1360</v>
      </c>
      <c r="BZ34" t="s">
        <v>1360</v>
      </c>
      <c r="CA34" t="s">
        <v>1360</v>
      </c>
      <c r="CB34" t="s">
        <v>1360</v>
      </c>
      <c r="CC34" t="s">
        <v>1829</v>
      </c>
      <c r="CD34" t="s">
        <v>1360</v>
      </c>
      <c r="CE34" t="s">
        <v>1360</v>
      </c>
      <c r="CF34" t="s">
        <v>1360</v>
      </c>
      <c r="CG34" t="s">
        <v>1360</v>
      </c>
      <c r="CH34" t="s">
        <v>1517</v>
      </c>
      <c r="CI34" t="s">
        <v>1360</v>
      </c>
      <c r="CJ34" t="s">
        <v>1360</v>
      </c>
      <c r="CK34" t="s">
        <v>1360</v>
      </c>
      <c r="CL34" t="s">
        <v>1360</v>
      </c>
      <c r="CM34" t="s">
        <v>1360</v>
      </c>
      <c r="CN34" t="s">
        <v>1360</v>
      </c>
      <c r="CO34" t="s">
        <v>1360</v>
      </c>
      <c r="CP34" t="s">
        <v>1360</v>
      </c>
      <c r="CR34">
        <v>0</v>
      </c>
      <c r="CS34" t="s">
        <v>1360</v>
      </c>
      <c r="CU34" t="s">
        <v>1360</v>
      </c>
      <c r="CV34" t="s">
        <v>1360</v>
      </c>
      <c r="CW34" t="s">
        <v>1360</v>
      </c>
      <c r="CX34" t="s">
        <v>1360</v>
      </c>
      <c r="CY34" t="s">
        <v>1360</v>
      </c>
      <c r="CZ34" t="s">
        <v>1360</v>
      </c>
      <c r="DA34" t="s">
        <v>1360</v>
      </c>
      <c r="DB34" t="s">
        <v>1360</v>
      </c>
      <c r="DC34" t="s">
        <v>1360</v>
      </c>
      <c r="DD34" t="s">
        <v>1360</v>
      </c>
      <c r="DE34" t="s">
        <v>1360</v>
      </c>
      <c r="DG34" t="s">
        <v>1517</v>
      </c>
      <c r="DH34" t="s">
        <v>1360</v>
      </c>
      <c r="DJ34" t="s">
        <v>1360</v>
      </c>
      <c r="DK34" t="s">
        <v>1517</v>
      </c>
      <c r="DL34" t="s">
        <v>1360</v>
      </c>
      <c r="DM34" t="s">
        <v>1360</v>
      </c>
      <c r="DN34" t="s">
        <v>1360</v>
      </c>
      <c r="DO34" t="s">
        <v>1360</v>
      </c>
      <c r="DP34" t="s">
        <v>1360</v>
      </c>
      <c r="DQ34" t="s">
        <v>1360</v>
      </c>
      <c r="DR34">
        <v>0</v>
      </c>
      <c r="DS34" t="s">
        <v>1360</v>
      </c>
      <c r="DT34" t="s">
        <v>1360</v>
      </c>
      <c r="DU34" t="s">
        <v>1360</v>
      </c>
      <c r="DV34" t="s">
        <v>1360</v>
      </c>
      <c r="DW34" t="s">
        <v>1360</v>
      </c>
      <c r="DX34" t="s">
        <v>1360</v>
      </c>
      <c r="DY34" t="s">
        <v>1360</v>
      </c>
      <c r="DZ34" t="s">
        <v>1360</v>
      </c>
      <c r="EA34" t="s">
        <v>1360</v>
      </c>
      <c r="EB34" t="s">
        <v>1360</v>
      </c>
      <c r="EC34" t="s">
        <v>1360</v>
      </c>
      <c r="ED34" t="s">
        <v>1360</v>
      </c>
      <c r="EE34" t="s">
        <v>1360</v>
      </c>
      <c r="EF34">
        <v>0</v>
      </c>
      <c r="EG34" t="s">
        <v>1360</v>
      </c>
      <c r="EH34" t="s">
        <v>1360</v>
      </c>
    </row>
    <row r="35" spans="1:138">
      <c r="A35" t="s">
        <v>1830</v>
      </c>
      <c r="B35" t="s">
        <v>1508</v>
      </c>
      <c r="C35" t="s">
        <v>1592</v>
      </c>
      <c r="D35" t="s">
        <v>1360</v>
      </c>
      <c r="E35" t="s">
        <v>1360</v>
      </c>
      <c r="F35" t="s">
        <v>1360</v>
      </c>
      <c r="G35" t="s">
        <v>1831</v>
      </c>
      <c r="H35" t="s">
        <v>1832</v>
      </c>
      <c r="I35" t="s">
        <v>1360</v>
      </c>
      <c r="J35" t="s">
        <v>1360</v>
      </c>
      <c r="K35" t="s">
        <v>1833</v>
      </c>
      <c r="L35" t="s">
        <v>65</v>
      </c>
      <c r="M35" t="s">
        <v>1834</v>
      </c>
      <c r="N35" t="s">
        <v>1835</v>
      </c>
      <c r="O35" t="s">
        <v>1836</v>
      </c>
      <c r="P35" t="s">
        <v>1592</v>
      </c>
      <c r="Q35" t="s">
        <v>1360</v>
      </c>
      <c r="R35" t="s">
        <v>1831</v>
      </c>
      <c r="S35" t="s">
        <v>1360</v>
      </c>
      <c r="T35" t="s">
        <v>1360</v>
      </c>
      <c r="U35" t="s">
        <v>1517</v>
      </c>
      <c r="V35" t="s">
        <v>1517</v>
      </c>
      <c r="W35" t="s">
        <v>1360</v>
      </c>
      <c r="X35" t="s">
        <v>1599</v>
      </c>
      <c r="Y35" t="s">
        <v>1517</v>
      </c>
      <c r="Z35" t="s">
        <v>1360</v>
      </c>
      <c r="AA35" t="s">
        <v>1360</v>
      </c>
      <c r="AB35" t="s">
        <v>1360</v>
      </c>
      <c r="AC35">
        <v>45302</v>
      </c>
      <c r="AD35" t="s">
        <v>1539</v>
      </c>
      <c r="AE35" t="s">
        <v>1360</v>
      </c>
      <c r="AF35" t="s">
        <v>1360</v>
      </c>
      <c r="AG35" t="s">
        <v>1601</v>
      </c>
      <c r="AH35" t="s">
        <v>1360</v>
      </c>
      <c r="AI35" t="s">
        <v>1360</v>
      </c>
      <c r="AJ35" t="s">
        <v>1360</v>
      </c>
      <c r="AK35" t="s">
        <v>1360</v>
      </c>
      <c r="AL35" t="s">
        <v>1360</v>
      </c>
      <c r="AM35" t="s">
        <v>1602</v>
      </c>
      <c r="AN35" t="s">
        <v>1837</v>
      </c>
      <c r="AO35" t="e">
        <f>_xlfn.XLOOKUP(AN35,#REF!,#REF!)</f>
        <v>#REF!</v>
      </c>
      <c r="AP35" t="s">
        <v>1360</v>
      </c>
      <c r="AQ35" t="s">
        <v>1360</v>
      </c>
      <c r="AR35" t="s">
        <v>1360</v>
      </c>
      <c r="AS35" t="s">
        <v>1838</v>
      </c>
      <c r="AT35" t="s">
        <v>1360</v>
      </c>
      <c r="AU35" t="s">
        <v>1360</v>
      </c>
      <c r="AV35" t="s">
        <v>1360</v>
      </c>
      <c r="AW35" t="s">
        <v>1360</v>
      </c>
      <c r="AX35" t="s">
        <v>1360</v>
      </c>
      <c r="AY35" t="s">
        <v>1360</v>
      </c>
      <c r="AZ35" t="s">
        <v>1360</v>
      </c>
      <c r="BA35" t="s">
        <v>1360</v>
      </c>
      <c r="BB35" t="s">
        <v>1360</v>
      </c>
      <c r="BC35" t="s">
        <v>1360</v>
      </c>
      <c r="BD35" t="s">
        <v>1360</v>
      </c>
      <c r="BE35" t="s">
        <v>1360</v>
      </c>
      <c r="BG35" t="s">
        <v>1360</v>
      </c>
      <c r="BH35" t="s">
        <v>1360</v>
      </c>
      <c r="BJ35" t="s">
        <v>1360</v>
      </c>
      <c r="BK35" t="s">
        <v>1360</v>
      </c>
      <c r="BL35" t="s">
        <v>1360</v>
      </c>
      <c r="BM35" t="s">
        <v>1360</v>
      </c>
      <c r="BN35" t="s">
        <v>1360</v>
      </c>
      <c r="BO35" t="s">
        <v>1360</v>
      </c>
      <c r="BP35" t="s">
        <v>1360</v>
      </c>
      <c r="BQ35" t="s">
        <v>1527</v>
      </c>
      <c r="BR35" t="s">
        <v>1839</v>
      </c>
      <c r="BS35" t="s">
        <v>1360</v>
      </c>
      <c r="BT35" t="s">
        <v>1360</v>
      </c>
      <c r="BU35" t="s">
        <v>1360</v>
      </c>
      <c r="BV35" t="s">
        <v>1360</v>
      </c>
      <c r="BW35" t="s">
        <v>1360</v>
      </c>
      <c r="BX35" t="s">
        <v>1360</v>
      </c>
      <c r="BY35" t="s">
        <v>1360</v>
      </c>
      <c r="BZ35" t="s">
        <v>1360</v>
      </c>
      <c r="CA35" t="s">
        <v>1360</v>
      </c>
      <c r="CB35" t="s">
        <v>1360</v>
      </c>
      <c r="CC35" t="s">
        <v>1840</v>
      </c>
      <c r="CD35" t="s">
        <v>1360</v>
      </c>
      <c r="CE35" t="s">
        <v>1360</v>
      </c>
      <c r="CF35" t="s">
        <v>1360</v>
      </c>
      <c r="CG35" t="s">
        <v>1360</v>
      </c>
      <c r="CH35" t="s">
        <v>1517</v>
      </c>
      <c r="CI35" t="s">
        <v>1360</v>
      </c>
      <c r="CJ35" t="s">
        <v>1360</v>
      </c>
      <c r="CK35" t="s">
        <v>1360</v>
      </c>
      <c r="CL35" t="s">
        <v>1360</v>
      </c>
      <c r="CM35" t="s">
        <v>1360</v>
      </c>
      <c r="CN35" t="s">
        <v>1360</v>
      </c>
      <c r="CO35" t="s">
        <v>1360</v>
      </c>
      <c r="CP35" t="s">
        <v>1360</v>
      </c>
      <c r="CR35">
        <v>0</v>
      </c>
      <c r="CS35" t="s">
        <v>1360</v>
      </c>
      <c r="CU35" t="s">
        <v>1360</v>
      </c>
      <c r="CV35" t="s">
        <v>1360</v>
      </c>
      <c r="CW35" t="s">
        <v>1360</v>
      </c>
      <c r="CX35" t="s">
        <v>1360</v>
      </c>
      <c r="CY35" t="s">
        <v>1360</v>
      </c>
      <c r="CZ35" t="s">
        <v>1360</v>
      </c>
      <c r="DA35" t="s">
        <v>1360</v>
      </c>
      <c r="DB35" t="s">
        <v>1360</v>
      </c>
      <c r="DC35" t="s">
        <v>1360</v>
      </c>
      <c r="DD35" t="s">
        <v>1360</v>
      </c>
      <c r="DE35" t="s">
        <v>1360</v>
      </c>
      <c r="DG35" t="s">
        <v>1517</v>
      </c>
      <c r="DH35" t="s">
        <v>1360</v>
      </c>
      <c r="DJ35" t="s">
        <v>1360</v>
      </c>
      <c r="DK35" t="s">
        <v>1517</v>
      </c>
      <c r="DL35" t="s">
        <v>1360</v>
      </c>
      <c r="DM35" t="s">
        <v>1360</v>
      </c>
      <c r="DN35" t="s">
        <v>1360</v>
      </c>
      <c r="DO35" t="s">
        <v>1360</v>
      </c>
      <c r="DP35" t="s">
        <v>1360</v>
      </c>
      <c r="DQ35" t="s">
        <v>1360</v>
      </c>
      <c r="DR35">
        <v>0</v>
      </c>
      <c r="DS35" t="s">
        <v>1360</v>
      </c>
      <c r="DT35" t="s">
        <v>1360</v>
      </c>
      <c r="DU35" t="s">
        <v>1360</v>
      </c>
      <c r="DV35" t="s">
        <v>1360</v>
      </c>
      <c r="DW35" t="s">
        <v>1360</v>
      </c>
      <c r="DX35" t="s">
        <v>1360</v>
      </c>
      <c r="DY35" t="s">
        <v>1360</v>
      </c>
      <c r="DZ35" t="s">
        <v>1360</v>
      </c>
      <c r="EA35" t="s">
        <v>1360</v>
      </c>
      <c r="EB35" t="s">
        <v>1360</v>
      </c>
      <c r="EC35" t="s">
        <v>1360</v>
      </c>
      <c r="ED35" t="s">
        <v>1360</v>
      </c>
      <c r="EE35" t="s">
        <v>1360</v>
      </c>
      <c r="EF35">
        <v>0</v>
      </c>
      <c r="EG35" t="s">
        <v>1360</v>
      </c>
      <c r="EH35" t="s">
        <v>1360</v>
      </c>
    </row>
    <row r="36" spans="1:138" hidden="1">
      <c r="A36" t="s">
        <v>1841</v>
      </c>
      <c r="B36" t="s">
        <v>1508</v>
      </c>
      <c r="C36" t="s">
        <v>1842</v>
      </c>
      <c r="D36" t="s">
        <v>1843</v>
      </c>
      <c r="E36" t="s">
        <v>1360</v>
      </c>
      <c r="F36" t="s">
        <v>1360</v>
      </c>
      <c r="G36" t="s">
        <v>1516</v>
      </c>
      <c r="H36" t="s">
        <v>1569</v>
      </c>
      <c r="I36" t="s">
        <v>1360</v>
      </c>
      <c r="J36" t="s">
        <v>1360</v>
      </c>
      <c r="K36" t="s">
        <v>1570</v>
      </c>
      <c r="L36" t="s">
        <v>32</v>
      </c>
      <c r="M36" t="s">
        <v>1844</v>
      </c>
      <c r="N36" t="s">
        <v>1674</v>
      </c>
      <c r="O36" t="s">
        <v>1845</v>
      </c>
      <c r="P36" t="s">
        <v>1846</v>
      </c>
      <c r="Q36" t="s">
        <v>1843</v>
      </c>
      <c r="R36" t="s">
        <v>1516</v>
      </c>
      <c r="S36" t="s">
        <v>1360</v>
      </c>
      <c r="T36" t="s">
        <v>1360</v>
      </c>
      <c r="U36" t="s">
        <v>1517</v>
      </c>
      <c r="V36" t="s">
        <v>1517</v>
      </c>
      <c r="W36" t="s">
        <v>1360</v>
      </c>
      <c r="X36" t="s">
        <v>1599</v>
      </c>
      <c r="Y36" t="s">
        <v>1517</v>
      </c>
      <c r="Z36" t="s">
        <v>1360</v>
      </c>
      <c r="AA36" t="s">
        <v>1360</v>
      </c>
      <c r="AB36" t="s">
        <v>1360</v>
      </c>
      <c r="AC36">
        <v>42849</v>
      </c>
      <c r="AD36" t="s">
        <v>1519</v>
      </c>
      <c r="AE36" t="s">
        <v>1360</v>
      </c>
      <c r="AF36" t="s">
        <v>1360</v>
      </c>
      <c r="AG36" t="s">
        <v>1601</v>
      </c>
      <c r="AH36" t="s">
        <v>1360</v>
      </c>
      <c r="AI36" t="s">
        <v>1360</v>
      </c>
      <c r="AJ36" t="s">
        <v>1360</v>
      </c>
      <c r="AK36" t="s">
        <v>1360</v>
      </c>
      <c r="AL36" t="s">
        <v>1360</v>
      </c>
      <c r="AM36" t="s">
        <v>1602</v>
      </c>
      <c r="AN36" t="s">
        <v>1577</v>
      </c>
      <c r="AO36" t="e">
        <f>_xlfn.XLOOKUP(AN36,#REF!,#REF!)</f>
        <v>#REF!</v>
      </c>
      <c r="AP36" t="s">
        <v>1360</v>
      </c>
      <c r="AQ36" t="s">
        <v>1360</v>
      </c>
      <c r="AR36" t="s">
        <v>1360</v>
      </c>
      <c r="AS36" t="s">
        <v>1360</v>
      </c>
      <c r="AT36" t="s">
        <v>1360</v>
      </c>
      <c r="AU36" t="s">
        <v>1360</v>
      </c>
      <c r="AV36" t="s">
        <v>1360</v>
      </c>
      <c r="AW36" t="s">
        <v>1360</v>
      </c>
      <c r="AX36" t="s">
        <v>1360</v>
      </c>
      <c r="AY36" t="s">
        <v>1360</v>
      </c>
      <c r="AZ36" t="s">
        <v>58</v>
      </c>
      <c r="BA36" t="s">
        <v>1360</v>
      </c>
      <c r="BB36" t="s">
        <v>1360</v>
      </c>
      <c r="BC36" t="s">
        <v>1360</v>
      </c>
      <c r="BD36" t="s">
        <v>1360</v>
      </c>
      <c r="BE36" t="s">
        <v>1360</v>
      </c>
      <c r="BG36" t="s">
        <v>1360</v>
      </c>
      <c r="BH36" t="s">
        <v>1360</v>
      </c>
      <c r="BJ36" t="s">
        <v>1360</v>
      </c>
      <c r="BK36" t="s">
        <v>1360</v>
      </c>
      <c r="BL36" t="s">
        <v>1360</v>
      </c>
      <c r="BM36" t="s">
        <v>1847</v>
      </c>
      <c r="BN36" t="s">
        <v>1360</v>
      </c>
      <c r="BO36" t="s">
        <v>1360</v>
      </c>
      <c r="BP36" t="s">
        <v>1360</v>
      </c>
      <c r="BQ36" t="s">
        <v>1527</v>
      </c>
      <c r="BR36" t="s">
        <v>1528</v>
      </c>
      <c r="BS36" t="s">
        <v>1360</v>
      </c>
      <c r="BT36" t="s">
        <v>1360</v>
      </c>
      <c r="BU36" t="s">
        <v>1360</v>
      </c>
      <c r="BV36" t="s">
        <v>1360</v>
      </c>
      <c r="BW36" t="s">
        <v>1360</v>
      </c>
      <c r="BX36" t="s">
        <v>1360</v>
      </c>
      <c r="BY36" t="s">
        <v>1360</v>
      </c>
      <c r="BZ36" t="s">
        <v>1360</v>
      </c>
      <c r="CA36" t="s">
        <v>1360</v>
      </c>
      <c r="CB36" t="s">
        <v>1360</v>
      </c>
      <c r="CC36" t="s">
        <v>1579</v>
      </c>
      <c r="CD36" t="s">
        <v>1360</v>
      </c>
      <c r="CE36" t="s">
        <v>1360</v>
      </c>
      <c r="CF36" t="s">
        <v>1360</v>
      </c>
      <c r="CG36" t="s">
        <v>1360</v>
      </c>
      <c r="CH36" t="s">
        <v>1517</v>
      </c>
      <c r="CI36" t="s">
        <v>1360</v>
      </c>
      <c r="CJ36" t="s">
        <v>1360</v>
      </c>
      <c r="CK36" t="s">
        <v>1360</v>
      </c>
      <c r="CL36" t="s">
        <v>1360</v>
      </c>
      <c r="CM36" t="s">
        <v>1360</v>
      </c>
      <c r="CN36" t="s">
        <v>1360</v>
      </c>
      <c r="CO36" t="s">
        <v>1360</v>
      </c>
      <c r="CP36" t="s">
        <v>1360</v>
      </c>
      <c r="CR36">
        <v>0</v>
      </c>
      <c r="CS36" t="s">
        <v>1360</v>
      </c>
      <c r="CU36" t="s">
        <v>1360</v>
      </c>
      <c r="CV36" t="s">
        <v>1360</v>
      </c>
      <c r="CW36" t="s">
        <v>1360</v>
      </c>
      <c r="CX36" t="s">
        <v>1360</v>
      </c>
      <c r="CY36" t="s">
        <v>1360</v>
      </c>
      <c r="CZ36" t="s">
        <v>1360</v>
      </c>
      <c r="DA36" t="s">
        <v>1360</v>
      </c>
      <c r="DB36" t="s">
        <v>1360</v>
      </c>
      <c r="DC36" t="s">
        <v>1360</v>
      </c>
      <c r="DD36" t="s">
        <v>1360</v>
      </c>
      <c r="DE36" t="s">
        <v>1360</v>
      </c>
      <c r="DG36" t="s">
        <v>1517</v>
      </c>
      <c r="DH36" t="s">
        <v>1360</v>
      </c>
      <c r="DJ36" t="s">
        <v>1360</v>
      </c>
      <c r="DK36" t="s">
        <v>1517</v>
      </c>
      <c r="DL36" t="s">
        <v>1360</v>
      </c>
      <c r="DM36" t="s">
        <v>1360</v>
      </c>
      <c r="DN36" t="s">
        <v>1360</v>
      </c>
      <c r="DO36" t="s">
        <v>1360</v>
      </c>
      <c r="DP36" t="s">
        <v>1360</v>
      </c>
      <c r="DQ36" t="s">
        <v>1360</v>
      </c>
      <c r="DR36">
        <v>0</v>
      </c>
      <c r="DS36" t="s">
        <v>1360</v>
      </c>
      <c r="DT36" t="s">
        <v>1360</v>
      </c>
      <c r="DU36" t="s">
        <v>1360</v>
      </c>
      <c r="DV36" t="s">
        <v>1360</v>
      </c>
      <c r="DW36" t="s">
        <v>1360</v>
      </c>
      <c r="DX36" t="s">
        <v>1360</v>
      </c>
      <c r="DY36" t="s">
        <v>1360</v>
      </c>
      <c r="DZ36" t="s">
        <v>1360</v>
      </c>
      <c r="EA36" t="s">
        <v>1360</v>
      </c>
      <c r="EB36" t="s">
        <v>1360</v>
      </c>
      <c r="EC36" t="s">
        <v>1360</v>
      </c>
      <c r="ED36" t="s">
        <v>1360</v>
      </c>
      <c r="EE36" t="s">
        <v>1360</v>
      </c>
      <c r="EF36">
        <v>0</v>
      </c>
      <c r="EG36" t="s">
        <v>1360</v>
      </c>
      <c r="EH36" t="s">
        <v>1360</v>
      </c>
    </row>
    <row r="37" spans="1:138" hidden="1">
      <c r="A37" t="s">
        <v>1848</v>
      </c>
      <c r="B37" t="s">
        <v>1508</v>
      </c>
      <c r="C37" t="s">
        <v>1842</v>
      </c>
      <c r="D37" t="s">
        <v>1849</v>
      </c>
      <c r="E37" t="s">
        <v>1360</v>
      </c>
      <c r="F37" t="s">
        <v>1360</v>
      </c>
      <c r="G37" t="s">
        <v>1723</v>
      </c>
      <c r="H37" t="s">
        <v>1722</v>
      </c>
      <c r="I37" t="s">
        <v>1360</v>
      </c>
      <c r="J37" t="s">
        <v>1360</v>
      </c>
      <c r="K37" t="s">
        <v>1724</v>
      </c>
      <c r="L37" t="s">
        <v>69</v>
      </c>
      <c r="M37" t="s">
        <v>1850</v>
      </c>
      <c r="N37" t="s">
        <v>1851</v>
      </c>
      <c r="O37" t="s">
        <v>1852</v>
      </c>
      <c r="P37" t="s">
        <v>1846</v>
      </c>
      <c r="Q37" t="s">
        <v>1849</v>
      </c>
      <c r="R37" t="s">
        <v>1723</v>
      </c>
      <c r="S37" t="s">
        <v>1360</v>
      </c>
      <c r="T37" t="s">
        <v>1360</v>
      </c>
      <c r="U37" t="s">
        <v>1517</v>
      </c>
      <c r="V37" t="s">
        <v>1517</v>
      </c>
      <c r="W37" t="s">
        <v>1360</v>
      </c>
      <c r="X37" t="s">
        <v>1599</v>
      </c>
      <c r="Y37" t="s">
        <v>1517</v>
      </c>
      <c r="Z37" t="s">
        <v>1360</v>
      </c>
      <c r="AA37" t="s">
        <v>1360</v>
      </c>
      <c r="AB37" t="s">
        <v>1360</v>
      </c>
      <c r="AC37">
        <v>43418</v>
      </c>
      <c r="AD37" t="s">
        <v>1539</v>
      </c>
      <c r="AE37" t="s">
        <v>1360</v>
      </c>
      <c r="AF37" t="s">
        <v>1360</v>
      </c>
      <c r="AG37" t="s">
        <v>1601</v>
      </c>
      <c r="AH37" t="s">
        <v>1360</v>
      </c>
      <c r="AI37" t="s">
        <v>1360</v>
      </c>
      <c r="AJ37" t="s">
        <v>1360</v>
      </c>
      <c r="AK37" t="s">
        <v>1360</v>
      </c>
      <c r="AL37" t="s">
        <v>1360</v>
      </c>
      <c r="AM37" t="s">
        <v>1602</v>
      </c>
      <c r="AN37" t="s">
        <v>92</v>
      </c>
      <c r="AO37" t="e">
        <f>_xlfn.XLOOKUP(AN37,#REF!,#REF!)</f>
        <v>#REF!</v>
      </c>
      <c r="AP37" t="s">
        <v>1360</v>
      </c>
      <c r="AQ37" t="s">
        <v>1360</v>
      </c>
      <c r="AR37" t="s">
        <v>1360</v>
      </c>
      <c r="AS37" t="s">
        <v>1360</v>
      </c>
      <c r="AT37" t="s">
        <v>1360</v>
      </c>
      <c r="AU37" t="s">
        <v>1360</v>
      </c>
      <c r="AV37" t="s">
        <v>1360</v>
      </c>
      <c r="AW37" t="s">
        <v>1360</v>
      </c>
      <c r="AX37" t="s">
        <v>1360</v>
      </c>
      <c r="AY37" t="s">
        <v>1360</v>
      </c>
      <c r="AZ37" t="s">
        <v>58</v>
      </c>
      <c r="BA37" t="s">
        <v>1360</v>
      </c>
      <c r="BB37" t="s">
        <v>1360</v>
      </c>
      <c r="BC37" t="s">
        <v>1360</v>
      </c>
      <c r="BD37" t="s">
        <v>1360</v>
      </c>
      <c r="BE37" t="s">
        <v>1360</v>
      </c>
      <c r="BG37" t="s">
        <v>1360</v>
      </c>
      <c r="BH37" t="s">
        <v>1360</v>
      </c>
      <c r="BJ37" t="s">
        <v>1360</v>
      </c>
      <c r="BK37" t="s">
        <v>1360</v>
      </c>
      <c r="BL37" t="s">
        <v>1360</v>
      </c>
      <c r="BM37" t="s">
        <v>1853</v>
      </c>
      <c r="BN37" t="s">
        <v>1360</v>
      </c>
      <c r="BO37" t="s">
        <v>1360</v>
      </c>
      <c r="BP37" t="s">
        <v>1360</v>
      </c>
      <c r="BQ37" t="s">
        <v>1527</v>
      </c>
      <c r="BR37" t="s">
        <v>1717</v>
      </c>
      <c r="BS37" t="s">
        <v>1360</v>
      </c>
      <c r="BT37" t="s">
        <v>1360</v>
      </c>
      <c r="BU37" t="s">
        <v>1360</v>
      </c>
      <c r="BV37" t="s">
        <v>1360</v>
      </c>
      <c r="BW37" t="s">
        <v>1360</v>
      </c>
      <c r="BX37" t="s">
        <v>1360</v>
      </c>
      <c r="BY37" t="s">
        <v>1360</v>
      </c>
      <c r="BZ37" t="s">
        <v>1360</v>
      </c>
      <c r="CA37" t="s">
        <v>1360</v>
      </c>
      <c r="CB37" t="s">
        <v>1360</v>
      </c>
      <c r="CC37" t="s">
        <v>1854</v>
      </c>
      <c r="CD37" t="s">
        <v>1360</v>
      </c>
      <c r="CE37" t="s">
        <v>1360</v>
      </c>
      <c r="CF37" t="s">
        <v>1360</v>
      </c>
      <c r="CG37" t="s">
        <v>1360</v>
      </c>
      <c r="CH37" t="s">
        <v>1517</v>
      </c>
      <c r="CI37" t="s">
        <v>1360</v>
      </c>
      <c r="CJ37" t="s">
        <v>1360</v>
      </c>
      <c r="CK37" t="s">
        <v>1360</v>
      </c>
      <c r="CL37" t="s">
        <v>1360</v>
      </c>
      <c r="CM37" t="s">
        <v>1360</v>
      </c>
      <c r="CN37" t="s">
        <v>1360</v>
      </c>
      <c r="CO37" t="s">
        <v>1360</v>
      </c>
      <c r="CP37" t="s">
        <v>1360</v>
      </c>
      <c r="CR37">
        <v>0</v>
      </c>
      <c r="CS37" t="s">
        <v>1360</v>
      </c>
      <c r="CU37" t="s">
        <v>1360</v>
      </c>
      <c r="CV37" t="s">
        <v>1360</v>
      </c>
      <c r="CW37" t="s">
        <v>1360</v>
      </c>
      <c r="CX37" t="s">
        <v>1360</v>
      </c>
      <c r="CY37" t="s">
        <v>1360</v>
      </c>
      <c r="CZ37" t="s">
        <v>1360</v>
      </c>
      <c r="DA37" t="s">
        <v>1360</v>
      </c>
      <c r="DB37" t="s">
        <v>1360</v>
      </c>
      <c r="DC37" t="s">
        <v>1360</v>
      </c>
      <c r="DD37" t="s">
        <v>1360</v>
      </c>
      <c r="DE37" t="s">
        <v>1360</v>
      </c>
      <c r="DG37" t="s">
        <v>1517</v>
      </c>
      <c r="DH37" t="s">
        <v>1360</v>
      </c>
      <c r="DJ37" t="s">
        <v>1360</v>
      </c>
      <c r="DK37" t="s">
        <v>1517</v>
      </c>
      <c r="DL37" t="s">
        <v>1360</v>
      </c>
      <c r="DM37" t="s">
        <v>1360</v>
      </c>
      <c r="DN37" t="s">
        <v>1360</v>
      </c>
      <c r="DO37" t="s">
        <v>1360</v>
      </c>
      <c r="DP37" t="s">
        <v>1360</v>
      </c>
      <c r="DQ37" t="s">
        <v>1360</v>
      </c>
      <c r="DR37">
        <v>0</v>
      </c>
      <c r="DS37" t="s">
        <v>1360</v>
      </c>
      <c r="DT37" t="s">
        <v>1360</v>
      </c>
      <c r="DU37" t="s">
        <v>1360</v>
      </c>
      <c r="DV37" t="s">
        <v>1360</v>
      </c>
      <c r="DW37" t="s">
        <v>1360</v>
      </c>
      <c r="DX37" t="s">
        <v>1360</v>
      </c>
      <c r="DY37" t="s">
        <v>1360</v>
      </c>
      <c r="DZ37" t="s">
        <v>1360</v>
      </c>
      <c r="EA37" t="s">
        <v>1360</v>
      </c>
      <c r="EB37" t="s">
        <v>1360</v>
      </c>
      <c r="EC37" t="s">
        <v>1360</v>
      </c>
      <c r="ED37" t="s">
        <v>1360</v>
      </c>
      <c r="EE37" t="s">
        <v>1360</v>
      </c>
      <c r="EF37">
        <v>0</v>
      </c>
      <c r="EG37" t="s">
        <v>1360</v>
      </c>
      <c r="EH37" t="s">
        <v>1360</v>
      </c>
    </row>
    <row r="38" spans="1:138" hidden="1">
      <c r="A38" t="s">
        <v>1855</v>
      </c>
      <c r="B38" t="s">
        <v>1508</v>
      </c>
      <c r="C38" t="s">
        <v>1856</v>
      </c>
      <c r="D38" t="s">
        <v>1857</v>
      </c>
      <c r="E38" t="s">
        <v>1360</v>
      </c>
      <c r="F38" t="s">
        <v>1360</v>
      </c>
      <c r="G38" t="s">
        <v>1516</v>
      </c>
      <c r="H38" t="s">
        <v>1759</v>
      </c>
      <c r="I38" t="s">
        <v>1360</v>
      </c>
      <c r="J38" t="s">
        <v>1360</v>
      </c>
      <c r="K38" t="s">
        <v>1760</v>
      </c>
      <c r="L38" t="s">
        <v>32</v>
      </c>
      <c r="M38" t="s">
        <v>1844</v>
      </c>
      <c r="N38" t="s">
        <v>1761</v>
      </c>
      <c r="O38" t="s">
        <v>1858</v>
      </c>
      <c r="P38" t="s">
        <v>1846</v>
      </c>
      <c r="Q38" t="s">
        <v>1857</v>
      </c>
      <c r="R38" t="s">
        <v>1516</v>
      </c>
      <c r="S38" t="s">
        <v>1360</v>
      </c>
      <c r="T38" t="s">
        <v>1360</v>
      </c>
      <c r="U38" t="s">
        <v>1517</v>
      </c>
      <c r="V38" t="s">
        <v>1517</v>
      </c>
      <c r="W38" t="s">
        <v>1360</v>
      </c>
      <c r="X38" t="s">
        <v>1599</v>
      </c>
      <c r="Y38" t="s">
        <v>1517</v>
      </c>
      <c r="Z38" t="s">
        <v>1360</v>
      </c>
      <c r="AA38" t="s">
        <v>1360</v>
      </c>
      <c r="AB38" t="s">
        <v>1360</v>
      </c>
      <c r="AC38">
        <v>44837</v>
      </c>
      <c r="AD38" t="s">
        <v>1539</v>
      </c>
      <c r="AE38" t="s">
        <v>1360</v>
      </c>
      <c r="AF38" t="s">
        <v>1360</v>
      </c>
      <c r="AG38" t="s">
        <v>1601</v>
      </c>
      <c r="AH38" t="s">
        <v>1360</v>
      </c>
      <c r="AI38" t="s">
        <v>1360</v>
      </c>
      <c r="AJ38" t="s">
        <v>1360</v>
      </c>
      <c r="AK38" t="s">
        <v>1360</v>
      </c>
      <c r="AL38" t="s">
        <v>1360</v>
      </c>
      <c r="AM38" t="s">
        <v>1602</v>
      </c>
      <c r="AN38" t="s">
        <v>1859</v>
      </c>
      <c r="AO38" t="e">
        <f>_xlfn.XLOOKUP(AN38,#REF!,#REF!)</f>
        <v>#REF!</v>
      </c>
      <c r="AP38" t="s">
        <v>1360</v>
      </c>
      <c r="AQ38" t="s">
        <v>1360</v>
      </c>
      <c r="AR38" t="s">
        <v>1360</v>
      </c>
      <c r="AS38" t="s">
        <v>1360</v>
      </c>
      <c r="AT38" t="s">
        <v>1360</v>
      </c>
      <c r="AU38" t="s">
        <v>1360</v>
      </c>
      <c r="AV38" t="s">
        <v>1360</v>
      </c>
      <c r="AW38" t="s">
        <v>1360</v>
      </c>
      <c r="AX38" t="s">
        <v>1360</v>
      </c>
      <c r="AY38" t="s">
        <v>1360</v>
      </c>
      <c r="AZ38" t="s">
        <v>58</v>
      </c>
      <c r="BA38" t="s">
        <v>1360</v>
      </c>
      <c r="BB38" t="s">
        <v>1360</v>
      </c>
      <c r="BC38" t="s">
        <v>1360</v>
      </c>
      <c r="BD38" t="s">
        <v>1360</v>
      </c>
      <c r="BE38" t="s">
        <v>1360</v>
      </c>
      <c r="BG38" t="s">
        <v>1360</v>
      </c>
      <c r="BH38" t="s">
        <v>1360</v>
      </c>
      <c r="BJ38" t="s">
        <v>1360</v>
      </c>
      <c r="BK38" t="s">
        <v>1360</v>
      </c>
      <c r="BL38" t="s">
        <v>1360</v>
      </c>
      <c r="BM38" t="s">
        <v>1360</v>
      </c>
      <c r="BN38" t="s">
        <v>1360</v>
      </c>
      <c r="BO38" t="s">
        <v>1360</v>
      </c>
      <c r="BP38" t="s">
        <v>1360</v>
      </c>
      <c r="BQ38" t="s">
        <v>1527</v>
      </c>
      <c r="BR38" t="s">
        <v>1528</v>
      </c>
      <c r="BS38" t="s">
        <v>1360</v>
      </c>
      <c r="BT38" t="s">
        <v>1360</v>
      </c>
      <c r="BU38" t="s">
        <v>1360</v>
      </c>
      <c r="BV38" t="s">
        <v>1360</v>
      </c>
      <c r="BW38" t="s">
        <v>1360</v>
      </c>
      <c r="BX38" t="s">
        <v>1360</v>
      </c>
      <c r="BY38" t="s">
        <v>1360</v>
      </c>
      <c r="BZ38" t="s">
        <v>1360</v>
      </c>
      <c r="CA38" t="s">
        <v>1360</v>
      </c>
      <c r="CB38" t="s">
        <v>1360</v>
      </c>
      <c r="CC38" t="s">
        <v>1860</v>
      </c>
      <c r="CD38" t="s">
        <v>1360</v>
      </c>
      <c r="CE38" t="s">
        <v>1360</v>
      </c>
      <c r="CF38" t="s">
        <v>1360</v>
      </c>
      <c r="CG38" t="s">
        <v>1360</v>
      </c>
      <c r="CH38" t="s">
        <v>1517</v>
      </c>
      <c r="CI38" t="s">
        <v>1360</v>
      </c>
      <c r="CJ38" t="s">
        <v>1360</v>
      </c>
      <c r="CK38" t="s">
        <v>1360</v>
      </c>
      <c r="CL38" t="s">
        <v>1360</v>
      </c>
      <c r="CM38" t="s">
        <v>1360</v>
      </c>
      <c r="CN38" t="s">
        <v>1360</v>
      </c>
      <c r="CO38" t="s">
        <v>1360</v>
      </c>
      <c r="CP38" t="s">
        <v>1360</v>
      </c>
      <c r="CR38">
        <v>0</v>
      </c>
      <c r="CS38" t="s">
        <v>1360</v>
      </c>
      <c r="CU38" t="s">
        <v>1360</v>
      </c>
      <c r="CV38" t="s">
        <v>1360</v>
      </c>
      <c r="CW38" t="s">
        <v>1360</v>
      </c>
      <c r="CX38" t="s">
        <v>1360</v>
      </c>
      <c r="CY38" t="s">
        <v>1360</v>
      </c>
      <c r="CZ38" t="s">
        <v>1360</v>
      </c>
      <c r="DA38" t="s">
        <v>1360</v>
      </c>
      <c r="DB38" t="s">
        <v>1360</v>
      </c>
      <c r="DC38" t="s">
        <v>1360</v>
      </c>
      <c r="DD38" t="s">
        <v>1360</v>
      </c>
      <c r="DE38" t="s">
        <v>1360</v>
      </c>
      <c r="DG38" t="s">
        <v>1517</v>
      </c>
      <c r="DH38" t="s">
        <v>1360</v>
      </c>
      <c r="DJ38" t="s">
        <v>1360</v>
      </c>
      <c r="DK38" t="s">
        <v>1517</v>
      </c>
      <c r="DL38" t="s">
        <v>1360</v>
      </c>
      <c r="DM38" t="s">
        <v>1360</v>
      </c>
      <c r="DN38" t="s">
        <v>1360</v>
      </c>
      <c r="DO38" t="s">
        <v>1360</v>
      </c>
      <c r="DP38" t="s">
        <v>1360</v>
      </c>
      <c r="DQ38" t="s">
        <v>1360</v>
      </c>
      <c r="DR38">
        <v>0</v>
      </c>
      <c r="DS38" t="s">
        <v>1360</v>
      </c>
      <c r="DT38" t="s">
        <v>1360</v>
      </c>
      <c r="DU38" t="s">
        <v>1360</v>
      </c>
      <c r="DV38" t="s">
        <v>1360</v>
      </c>
      <c r="DW38" t="s">
        <v>1360</v>
      </c>
      <c r="DX38" t="s">
        <v>1360</v>
      </c>
      <c r="DY38" t="s">
        <v>1360</v>
      </c>
      <c r="DZ38" t="s">
        <v>1360</v>
      </c>
      <c r="EA38" t="s">
        <v>1360</v>
      </c>
      <c r="EB38" t="s">
        <v>1360</v>
      </c>
      <c r="EC38" t="s">
        <v>1360</v>
      </c>
      <c r="ED38" t="s">
        <v>1360</v>
      </c>
      <c r="EE38" t="s">
        <v>1360</v>
      </c>
      <c r="EF38">
        <v>0</v>
      </c>
      <c r="EG38" t="s">
        <v>1360</v>
      </c>
      <c r="EH38" t="s">
        <v>1360</v>
      </c>
    </row>
    <row r="39" spans="1:138" hidden="1">
      <c r="A39" t="s">
        <v>1861</v>
      </c>
      <c r="B39" t="s">
        <v>1508</v>
      </c>
      <c r="C39" t="s">
        <v>1856</v>
      </c>
      <c r="D39" t="s">
        <v>1857</v>
      </c>
      <c r="E39" t="s">
        <v>1360</v>
      </c>
      <c r="F39" t="s">
        <v>1360</v>
      </c>
      <c r="G39" t="s">
        <v>1831</v>
      </c>
      <c r="H39" t="s">
        <v>1832</v>
      </c>
      <c r="I39" t="s">
        <v>1360</v>
      </c>
      <c r="J39" t="s">
        <v>1360</v>
      </c>
      <c r="K39" t="s">
        <v>1833</v>
      </c>
      <c r="L39" t="s">
        <v>65</v>
      </c>
      <c r="M39" t="s">
        <v>1844</v>
      </c>
      <c r="N39" t="s">
        <v>1862</v>
      </c>
      <c r="O39" t="s">
        <v>1863</v>
      </c>
      <c r="P39" t="s">
        <v>1846</v>
      </c>
      <c r="Q39" t="s">
        <v>1857</v>
      </c>
      <c r="R39" t="s">
        <v>1831</v>
      </c>
      <c r="S39" t="s">
        <v>1360</v>
      </c>
      <c r="T39" t="s">
        <v>1360</v>
      </c>
      <c r="U39" t="s">
        <v>1517</v>
      </c>
      <c r="V39" t="s">
        <v>1517</v>
      </c>
      <c r="W39" t="s">
        <v>1360</v>
      </c>
      <c r="X39" t="s">
        <v>1599</v>
      </c>
      <c r="Y39" t="s">
        <v>1517</v>
      </c>
      <c r="Z39" t="s">
        <v>1360</v>
      </c>
      <c r="AA39" t="s">
        <v>1360</v>
      </c>
      <c r="AB39" t="s">
        <v>1360</v>
      </c>
      <c r="AC39">
        <v>44817</v>
      </c>
      <c r="AD39" t="s">
        <v>1539</v>
      </c>
      <c r="AE39" t="s">
        <v>1360</v>
      </c>
      <c r="AF39" t="s">
        <v>1360</v>
      </c>
      <c r="AG39" t="s">
        <v>1601</v>
      </c>
      <c r="AH39" t="s">
        <v>1360</v>
      </c>
      <c r="AI39" t="s">
        <v>1360</v>
      </c>
      <c r="AJ39" t="s">
        <v>1360</v>
      </c>
      <c r="AK39" t="s">
        <v>1360</v>
      </c>
      <c r="AL39" t="s">
        <v>1360</v>
      </c>
      <c r="AM39" t="s">
        <v>1602</v>
      </c>
      <c r="AN39" t="s">
        <v>1864</v>
      </c>
      <c r="AO39" t="e">
        <f>_xlfn.XLOOKUP(AN39,#REF!,#REF!)</f>
        <v>#REF!</v>
      </c>
      <c r="AP39" t="s">
        <v>1360</v>
      </c>
      <c r="AQ39" t="s">
        <v>1360</v>
      </c>
      <c r="AR39" t="s">
        <v>1360</v>
      </c>
      <c r="AS39" t="s">
        <v>1360</v>
      </c>
      <c r="AT39" t="s">
        <v>1360</v>
      </c>
      <c r="AU39" t="s">
        <v>1360</v>
      </c>
      <c r="AV39" t="s">
        <v>1360</v>
      </c>
      <c r="AW39" t="s">
        <v>1360</v>
      </c>
      <c r="AX39" t="s">
        <v>1360</v>
      </c>
      <c r="AY39" t="s">
        <v>1360</v>
      </c>
      <c r="AZ39" t="s">
        <v>58</v>
      </c>
      <c r="BA39" t="s">
        <v>1360</v>
      </c>
      <c r="BB39" t="s">
        <v>1360</v>
      </c>
      <c r="BC39" t="s">
        <v>1360</v>
      </c>
      <c r="BD39" t="s">
        <v>1360</v>
      </c>
      <c r="BE39" t="s">
        <v>1360</v>
      </c>
      <c r="BG39" t="s">
        <v>1360</v>
      </c>
      <c r="BH39" t="s">
        <v>1360</v>
      </c>
      <c r="BJ39" t="s">
        <v>1360</v>
      </c>
      <c r="BK39" t="s">
        <v>1360</v>
      </c>
      <c r="BL39" t="s">
        <v>1360</v>
      </c>
      <c r="BM39" t="s">
        <v>1360</v>
      </c>
      <c r="BN39" t="s">
        <v>1360</v>
      </c>
      <c r="BO39" t="s">
        <v>1360</v>
      </c>
      <c r="BP39" t="s">
        <v>1360</v>
      </c>
      <c r="BQ39" t="s">
        <v>1527</v>
      </c>
      <c r="BR39" t="s">
        <v>1839</v>
      </c>
      <c r="BS39" t="s">
        <v>1360</v>
      </c>
      <c r="BT39" t="s">
        <v>1360</v>
      </c>
      <c r="BU39" t="s">
        <v>1360</v>
      </c>
      <c r="BV39" t="s">
        <v>1360</v>
      </c>
      <c r="BW39" t="s">
        <v>1360</v>
      </c>
      <c r="BX39" t="s">
        <v>1360</v>
      </c>
      <c r="BY39" t="s">
        <v>1360</v>
      </c>
      <c r="BZ39" t="s">
        <v>1360</v>
      </c>
      <c r="CA39" t="s">
        <v>1360</v>
      </c>
      <c r="CB39" t="s">
        <v>1360</v>
      </c>
      <c r="CC39" t="s">
        <v>1865</v>
      </c>
      <c r="CD39" t="s">
        <v>1360</v>
      </c>
      <c r="CE39" t="s">
        <v>1360</v>
      </c>
      <c r="CF39" t="s">
        <v>1360</v>
      </c>
      <c r="CG39" t="s">
        <v>1360</v>
      </c>
      <c r="CH39" t="s">
        <v>1517</v>
      </c>
      <c r="CI39" t="s">
        <v>1360</v>
      </c>
      <c r="CJ39" t="s">
        <v>1360</v>
      </c>
      <c r="CK39" t="s">
        <v>1360</v>
      </c>
      <c r="CL39" t="s">
        <v>1360</v>
      </c>
      <c r="CM39" t="s">
        <v>1360</v>
      </c>
      <c r="CN39" t="s">
        <v>1360</v>
      </c>
      <c r="CO39" t="s">
        <v>1360</v>
      </c>
      <c r="CP39" t="s">
        <v>1360</v>
      </c>
      <c r="CR39">
        <v>0</v>
      </c>
      <c r="CS39" t="s">
        <v>1360</v>
      </c>
      <c r="CU39" t="s">
        <v>1360</v>
      </c>
      <c r="CV39" t="s">
        <v>1360</v>
      </c>
      <c r="CW39" t="s">
        <v>1360</v>
      </c>
      <c r="CX39" t="s">
        <v>1360</v>
      </c>
      <c r="CY39" t="s">
        <v>1360</v>
      </c>
      <c r="CZ39" t="s">
        <v>1360</v>
      </c>
      <c r="DA39" t="s">
        <v>1360</v>
      </c>
      <c r="DB39" t="s">
        <v>1360</v>
      </c>
      <c r="DC39" t="s">
        <v>1360</v>
      </c>
      <c r="DD39" t="s">
        <v>1360</v>
      </c>
      <c r="DE39" t="s">
        <v>1360</v>
      </c>
      <c r="DG39" t="s">
        <v>1517</v>
      </c>
      <c r="DH39" t="s">
        <v>1360</v>
      </c>
      <c r="DJ39" t="s">
        <v>1360</v>
      </c>
      <c r="DK39" t="s">
        <v>1517</v>
      </c>
      <c r="DL39" t="s">
        <v>1360</v>
      </c>
      <c r="DM39" t="s">
        <v>1360</v>
      </c>
      <c r="DN39" t="s">
        <v>1360</v>
      </c>
      <c r="DO39" t="s">
        <v>1360</v>
      </c>
      <c r="DP39" t="s">
        <v>1360</v>
      </c>
      <c r="DQ39" t="s">
        <v>1360</v>
      </c>
      <c r="DR39">
        <v>0</v>
      </c>
      <c r="DS39" t="s">
        <v>1360</v>
      </c>
      <c r="DT39" t="s">
        <v>1360</v>
      </c>
      <c r="DU39" t="s">
        <v>1360</v>
      </c>
      <c r="DV39" t="s">
        <v>1360</v>
      </c>
      <c r="DW39" t="s">
        <v>1360</v>
      </c>
      <c r="DX39" t="s">
        <v>1360</v>
      </c>
      <c r="DY39" t="s">
        <v>1360</v>
      </c>
      <c r="DZ39" t="s">
        <v>1360</v>
      </c>
      <c r="EA39" t="s">
        <v>1360</v>
      </c>
      <c r="EB39" t="s">
        <v>1360</v>
      </c>
      <c r="EC39" t="s">
        <v>1360</v>
      </c>
      <c r="ED39" t="s">
        <v>1360</v>
      </c>
      <c r="EE39" t="s">
        <v>1360</v>
      </c>
      <c r="EF39">
        <v>0</v>
      </c>
      <c r="EG39" t="s">
        <v>1360</v>
      </c>
      <c r="EH39" t="s">
        <v>1360</v>
      </c>
    </row>
    <row r="40" spans="1:138">
      <c r="A40" t="s">
        <v>1866</v>
      </c>
      <c r="B40" t="s">
        <v>1508</v>
      </c>
      <c r="C40" t="s">
        <v>1867</v>
      </c>
      <c r="D40" t="s">
        <v>1868</v>
      </c>
      <c r="E40" t="s">
        <v>1360</v>
      </c>
      <c r="F40" t="s">
        <v>1360</v>
      </c>
      <c r="G40" t="s">
        <v>1560</v>
      </c>
      <c r="H40" t="s">
        <v>1869</v>
      </c>
      <c r="I40" t="s">
        <v>1360</v>
      </c>
      <c r="J40" t="s">
        <v>1360</v>
      </c>
      <c r="K40" t="s">
        <v>1555</v>
      </c>
      <c r="L40" t="s">
        <v>75</v>
      </c>
      <c r="M40" t="s">
        <v>1870</v>
      </c>
      <c r="N40" t="s">
        <v>1871</v>
      </c>
      <c r="O40" t="s">
        <v>1872</v>
      </c>
      <c r="P40" t="s">
        <v>1867</v>
      </c>
      <c r="Q40" t="s">
        <v>1868</v>
      </c>
      <c r="R40" t="s">
        <v>1560</v>
      </c>
      <c r="S40" t="s">
        <v>1360</v>
      </c>
      <c r="T40" t="s">
        <v>1360</v>
      </c>
      <c r="U40" t="s">
        <v>1517</v>
      </c>
      <c r="V40" t="s">
        <v>1517</v>
      </c>
      <c r="W40" t="s">
        <v>1360</v>
      </c>
      <c r="X40" t="s">
        <v>1814</v>
      </c>
      <c r="Y40" t="s">
        <v>1517</v>
      </c>
      <c r="Z40" t="s">
        <v>1360</v>
      </c>
      <c r="AA40" t="s">
        <v>1360</v>
      </c>
      <c r="AB40" t="s">
        <v>1360</v>
      </c>
      <c r="AC40">
        <v>42849</v>
      </c>
      <c r="AD40" t="s">
        <v>1519</v>
      </c>
      <c r="AE40" t="s">
        <v>1360</v>
      </c>
      <c r="AF40" t="s">
        <v>1360</v>
      </c>
      <c r="AG40" t="s">
        <v>1601</v>
      </c>
      <c r="AH40" t="s">
        <v>1360</v>
      </c>
      <c r="AI40" t="s">
        <v>1360</v>
      </c>
      <c r="AJ40" t="s">
        <v>1360</v>
      </c>
      <c r="AK40" t="s">
        <v>1360</v>
      </c>
      <c r="AL40" t="s">
        <v>1360</v>
      </c>
      <c r="AM40" t="s">
        <v>1602</v>
      </c>
      <c r="AN40" t="s">
        <v>1873</v>
      </c>
      <c r="AO40" t="e">
        <f>_xlfn.XLOOKUP(AN40,#REF!,#REF!)</f>
        <v>#REF!</v>
      </c>
      <c r="AP40" t="s">
        <v>1360</v>
      </c>
      <c r="AQ40" t="s">
        <v>1360</v>
      </c>
      <c r="AR40" t="s">
        <v>1360</v>
      </c>
      <c r="AS40" t="s">
        <v>1604</v>
      </c>
      <c r="AT40" t="s">
        <v>1360</v>
      </c>
      <c r="AU40" t="s">
        <v>1360</v>
      </c>
      <c r="AV40" t="s">
        <v>1360</v>
      </c>
      <c r="AW40" t="s">
        <v>1360</v>
      </c>
      <c r="AX40" t="s">
        <v>1360</v>
      </c>
      <c r="AY40" t="s">
        <v>1360</v>
      </c>
      <c r="AZ40" t="s">
        <v>1360</v>
      </c>
      <c r="BA40" t="s">
        <v>1360</v>
      </c>
      <c r="BB40" t="s">
        <v>1360</v>
      </c>
      <c r="BC40" t="s">
        <v>1360</v>
      </c>
      <c r="BD40" t="s">
        <v>1360</v>
      </c>
      <c r="BE40" t="s">
        <v>1360</v>
      </c>
      <c r="BG40" t="s">
        <v>1360</v>
      </c>
      <c r="BH40" t="s">
        <v>1360</v>
      </c>
      <c r="BJ40" t="s">
        <v>1360</v>
      </c>
      <c r="BK40" t="s">
        <v>1360</v>
      </c>
      <c r="BL40" t="s">
        <v>1360</v>
      </c>
      <c r="BM40" t="s">
        <v>1874</v>
      </c>
      <c r="BN40" t="s">
        <v>1360</v>
      </c>
      <c r="BO40" t="s">
        <v>1360</v>
      </c>
      <c r="BP40" t="s">
        <v>1360</v>
      </c>
      <c r="BQ40" t="s">
        <v>1527</v>
      </c>
      <c r="BR40" t="s">
        <v>1817</v>
      </c>
      <c r="BS40" t="s">
        <v>1360</v>
      </c>
      <c r="BT40" t="s">
        <v>1360</v>
      </c>
      <c r="BU40" t="s">
        <v>1360</v>
      </c>
      <c r="BV40" t="s">
        <v>1360</v>
      </c>
      <c r="BW40" t="s">
        <v>1360</v>
      </c>
      <c r="BX40" t="s">
        <v>1360</v>
      </c>
      <c r="BY40" t="s">
        <v>1360</v>
      </c>
      <c r="BZ40" t="s">
        <v>1360</v>
      </c>
      <c r="CA40" t="s">
        <v>1360</v>
      </c>
      <c r="CB40" t="s">
        <v>1360</v>
      </c>
      <c r="CC40" t="s">
        <v>1565</v>
      </c>
      <c r="CD40" t="s">
        <v>1360</v>
      </c>
      <c r="CE40" t="s">
        <v>1360</v>
      </c>
      <c r="CF40" t="s">
        <v>1360</v>
      </c>
      <c r="CG40" t="s">
        <v>1360</v>
      </c>
      <c r="CH40" t="s">
        <v>1517</v>
      </c>
      <c r="CI40" t="s">
        <v>1360</v>
      </c>
      <c r="CJ40" t="s">
        <v>1360</v>
      </c>
      <c r="CK40" t="s">
        <v>1360</v>
      </c>
      <c r="CL40" t="s">
        <v>1360</v>
      </c>
      <c r="CM40" t="s">
        <v>1360</v>
      </c>
      <c r="CN40" t="s">
        <v>1360</v>
      </c>
      <c r="CO40" t="s">
        <v>1360</v>
      </c>
      <c r="CP40" t="s">
        <v>1360</v>
      </c>
      <c r="CR40">
        <v>0</v>
      </c>
      <c r="CS40" t="s">
        <v>1360</v>
      </c>
      <c r="CU40" t="s">
        <v>1360</v>
      </c>
      <c r="CV40" t="s">
        <v>1360</v>
      </c>
      <c r="CW40" t="s">
        <v>1360</v>
      </c>
      <c r="CX40" t="s">
        <v>1360</v>
      </c>
      <c r="CY40" t="s">
        <v>1360</v>
      </c>
      <c r="CZ40" t="s">
        <v>1360</v>
      </c>
      <c r="DA40" t="s">
        <v>1360</v>
      </c>
      <c r="DB40" t="s">
        <v>1360</v>
      </c>
      <c r="DC40" t="s">
        <v>1360</v>
      </c>
      <c r="DD40" t="s">
        <v>1360</v>
      </c>
      <c r="DE40" t="s">
        <v>1360</v>
      </c>
      <c r="DG40" t="s">
        <v>1517</v>
      </c>
      <c r="DH40" t="s">
        <v>1360</v>
      </c>
      <c r="DJ40" t="s">
        <v>1360</v>
      </c>
      <c r="DK40" t="s">
        <v>1517</v>
      </c>
      <c r="DL40" t="s">
        <v>1360</v>
      </c>
      <c r="DM40" t="s">
        <v>1360</v>
      </c>
      <c r="DN40" t="s">
        <v>1360</v>
      </c>
      <c r="DO40" t="s">
        <v>1360</v>
      </c>
      <c r="DP40" t="s">
        <v>1360</v>
      </c>
      <c r="DQ40" t="s">
        <v>1360</v>
      </c>
      <c r="DR40">
        <v>0</v>
      </c>
      <c r="DS40" t="s">
        <v>1360</v>
      </c>
      <c r="DT40" t="s">
        <v>1360</v>
      </c>
      <c r="DU40" t="s">
        <v>1360</v>
      </c>
      <c r="DV40" t="s">
        <v>1360</v>
      </c>
      <c r="DW40" t="s">
        <v>1360</v>
      </c>
      <c r="DX40" t="s">
        <v>1360</v>
      </c>
      <c r="DY40" t="s">
        <v>1360</v>
      </c>
      <c r="DZ40" t="s">
        <v>1360</v>
      </c>
      <c r="EA40" t="s">
        <v>1360</v>
      </c>
      <c r="EB40" t="s">
        <v>1360</v>
      </c>
      <c r="EC40" t="s">
        <v>1360</v>
      </c>
      <c r="ED40" t="s">
        <v>1360</v>
      </c>
      <c r="EE40" t="s">
        <v>1360</v>
      </c>
      <c r="EF40">
        <v>0</v>
      </c>
      <c r="EG40" t="s">
        <v>1360</v>
      </c>
      <c r="EH40" t="s">
        <v>1360</v>
      </c>
    </row>
    <row r="41" spans="1:138">
      <c r="A41" t="s">
        <v>1875</v>
      </c>
      <c r="B41" t="s">
        <v>1508</v>
      </c>
      <c r="C41" t="s">
        <v>1867</v>
      </c>
      <c r="D41" t="s">
        <v>1876</v>
      </c>
      <c r="E41" t="s">
        <v>1360</v>
      </c>
      <c r="F41" t="s">
        <v>1360</v>
      </c>
      <c r="G41" t="s">
        <v>1560</v>
      </c>
      <c r="H41" t="s">
        <v>1877</v>
      </c>
      <c r="I41" t="s">
        <v>1360</v>
      </c>
      <c r="J41" t="s">
        <v>1360</v>
      </c>
      <c r="K41" t="s">
        <v>1878</v>
      </c>
      <c r="L41" t="s">
        <v>75</v>
      </c>
      <c r="M41" t="s">
        <v>1879</v>
      </c>
      <c r="N41" t="s">
        <v>1880</v>
      </c>
      <c r="O41" t="s">
        <v>1881</v>
      </c>
      <c r="P41" t="s">
        <v>1867</v>
      </c>
      <c r="Q41" t="s">
        <v>1876</v>
      </c>
      <c r="R41" t="s">
        <v>1560</v>
      </c>
      <c r="S41" t="s">
        <v>1360</v>
      </c>
      <c r="T41" t="s">
        <v>1360</v>
      </c>
      <c r="U41" t="s">
        <v>1517</v>
      </c>
      <c r="V41" t="s">
        <v>1517</v>
      </c>
      <c r="W41" t="s">
        <v>1360</v>
      </c>
      <c r="X41" t="s">
        <v>1814</v>
      </c>
      <c r="Y41" t="s">
        <v>1517</v>
      </c>
      <c r="Z41" t="s">
        <v>1360</v>
      </c>
      <c r="AA41" t="s">
        <v>1360</v>
      </c>
      <c r="AB41" t="s">
        <v>1360</v>
      </c>
      <c r="AC41">
        <v>42848</v>
      </c>
      <c r="AD41" t="s">
        <v>1519</v>
      </c>
      <c r="AE41" t="s">
        <v>1360</v>
      </c>
      <c r="AF41" t="s">
        <v>1360</v>
      </c>
      <c r="AG41" t="s">
        <v>1601</v>
      </c>
      <c r="AH41" t="s">
        <v>1360</v>
      </c>
      <c r="AI41" t="s">
        <v>1360</v>
      </c>
      <c r="AJ41" t="s">
        <v>1360</v>
      </c>
      <c r="AK41" t="s">
        <v>1360</v>
      </c>
      <c r="AL41" t="s">
        <v>1360</v>
      </c>
      <c r="AM41" t="s">
        <v>1602</v>
      </c>
      <c r="AN41" t="s">
        <v>1882</v>
      </c>
      <c r="AO41" t="e">
        <f>_xlfn.XLOOKUP(AN41,#REF!,#REF!)</f>
        <v>#REF!</v>
      </c>
      <c r="AP41" t="s">
        <v>1360</v>
      </c>
      <c r="AQ41" t="s">
        <v>1360</v>
      </c>
      <c r="AR41" t="s">
        <v>1360</v>
      </c>
      <c r="AS41" t="s">
        <v>1604</v>
      </c>
      <c r="AT41" t="s">
        <v>1360</v>
      </c>
      <c r="AU41" t="s">
        <v>1360</v>
      </c>
      <c r="AV41" t="s">
        <v>1360</v>
      </c>
      <c r="AW41" t="s">
        <v>1360</v>
      </c>
      <c r="AX41" t="s">
        <v>1360</v>
      </c>
      <c r="AY41" t="s">
        <v>1360</v>
      </c>
      <c r="AZ41" t="s">
        <v>1360</v>
      </c>
      <c r="BA41" t="s">
        <v>1360</v>
      </c>
      <c r="BB41" t="s">
        <v>1360</v>
      </c>
      <c r="BC41" t="s">
        <v>1360</v>
      </c>
      <c r="BD41" t="s">
        <v>1360</v>
      </c>
      <c r="BE41" t="s">
        <v>1360</v>
      </c>
      <c r="BG41" t="s">
        <v>1360</v>
      </c>
      <c r="BH41" t="s">
        <v>1360</v>
      </c>
      <c r="BJ41" t="s">
        <v>1360</v>
      </c>
      <c r="BK41" t="s">
        <v>1360</v>
      </c>
      <c r="BL41" t="s">
        <v>1360</v>
      </c>
      <c r="BM41" t="s">
        <v>1883</v>
      </c>
      <c r="BN41" t="s">
        <v>1360</v>
      </c>
      <c r="BO41" t="s">
        <v>1360</v>
      </c>
      <c r="BP41" t="s">
        <v>1360</v>
      </c>
      <c r="BQ41" t="s">
        <v>1527</v>
      </c>
      <c r="BR41" t="s">
        <v>1817</v>
      </c>
      <c r="BS41" t="s">
        <v>1360</v>
      </c>
      <c r="BT41" t="s">
        <v>1360</v>
      </c>
      <c r="BU41" t="s">
        <v>1360</v>
      </c>
      <c r="BV41" t="s">
        <v>1360</v>
      </c>
      <c r="BW41" t="s">
        <v>1360</v>
      </c>
      <c r="BX41" t="s">
        <v>1360</v>
      </c>
      <c r="BY41" t="s">
        <v>1360</v>
      </c>
      <c r="BZ41" t="s">
        <v>1360</v>
      </c>
      <c r="CA41" t="s">
        <v>1360</v>
      </c>
      <c r="CB41" t="s">
        <v>1360</v>
      </c>
      <c r="CC41" t="s">
        <v>1884</v>
      </c>
      <c r="CD41" t="s">
        <v>1360</v>
      </c>
      <c r="CE41" t="s">
        <v>1360</v>
      </c>
      <c r="CF41" t="s">
        <v>1360</v>
      </c>
      <c r="CG41" t="s">
        <v>1360</v>
      </c>
      <c r="CH41" t="s">
        <v>1517</v>
      </c>
      <c r="CI41" t="s">
        <v>1360</v>
      </c>
      <c r="CJ41" t="s">
        <v>1360</v>
      </c>
      <c r="CK41" t="s">
        <v>1360</v>
      </c>
      <c r="CL41" t="s">
        <v>1360</v>
      </c>
      <c r="CM41" t="s">
        <v>1360</v>
      </c>
      <c r="CN41" t="s">
        <v>1360</v>
      </c>
      <c r="CO41" t="s">
        <v>1360</v>
      </c>
      <c r="CP41" t="s">
        <v>1360</v>
      </c>
      <c r="CR41">
        <v>0</v>
      </c>
      <c r="CS41" t="s">
        <v>1360</v>
      </c>
      <c r="CU41" t="s">
        <v>1360</v>
      </c>
      <c r="CV41" t="s">
        <v>1360</v>
      </c>
      <c r="CW41" t="s">
        <v>1360</v>
      </c>
      <c r="CX41" t="s">
        <v>1360</v>
      </c>
      <c r="CY41" t="s">
        <v>1360</v>
      </c>
      <c r="CZ41" t="s">
        <v>1360</v>
      </c>
      <c r="DA41" t="s">
        <v>1360</v>
      </c>
      <c r="DB41" t="s">
        <v>1360</v>
      </c>
      <c r="DC41" t="s">
        <v>1360</v>
      </c>
      <c r="DD41" t="s">
        <v>1360</v>
      </c>
      <c r="DE41" t="s">
        <v>1360</v>
      </c>
      <c r="DG41" t="s">
        <v>1517</v>
      </c>
      <c r="DH41" t="s">
        <v>1360</v>
      </c>
      <c r="DJ41" t="s">
        <v>1360</v>
      </c>
      <c r="DK41" t="s">
        <v>1517</v>
      </c>
      <c r="DL41" t="s">
        <v>1360</v>
      </c>
      <c r="DM41" t="s">
        <v>1360</v>
      </c>
      <c r="DN41" t="s">
        <v>1360</v>
      </c>
      <c r="DO41" t="s">
        <v>1360</v>
      </c>
      <c r="DP41" t="s">
        <v>1360</v>
      </c>
      <c r="DQ41" t="s">
        <v>1360</v>
      </c>
      <c r="DR41">
        <v>0</v>
      </c>
      <c r="DS41" t="s">
        <v>1360</v>
      </c>
      <c r="DT41" t="s">
        <v>1360</v>
      </c>
      <c r="DU41" t="s">
        <v>1360</v>
      </c>
      <c r="DV41" t="s">
        <v>1360</v>
      </c>
      <c r="DW41" t="s">
        <v>1360</v>
      </c>
      <c r="DX41" t="s">
        <v>1360</v>
      </c>
      <c r="DY41" t="s">
        <v>1360</v>
      </c>
      <c r="DZ41" t="s">
        <v>1360</v>
      </c>
      <c r="EA41" t="s">
        <v>1360</v>
      </c>
      <c r="EB41" t="s">
        <v>1360</v>
      </c>
      <c r="EC41" t="s">
        <v>1360</v>
      </c>
      <c r="ED41" t="s">
        <v>1360</v>
      </c>
      <c r="EE41" t="s">
        <v>1360</v>
      </c>
      <c r="EF41">
        <v>0</v>
      </c>
      <c r="EG41" t="s">
        <v>1360</v>
      </c>
      <c r="EH41" t="s">
        <v>1360</v>
      </c>
    </row>
    <row r="42" spans="1:138">
      <c r="A42" t="s">
        <v>1885</v>
      </c>
      <c r="B42" t="s">
        <v>1508</v>
      </c>
      <c r="C42" t="s">
        <v>1867</v>
      </c>
      <c r="D42" t="s">
        <v>1886</v>
      </c>
      <c r="E42" t="s">
        <v>1360</v>
      </c>
      <c r="F42" t="s">
        <v>1360</v>
      </c>
      <c r="G42" t="s">
        <v>1560</v>
      </c>
      <c r="H42" t="s">
        <v>1869</v>
      </c>
      <c r="I42" t="s">
        <v>1360</v>
      </c>
      <c r="J42" t="s">
        <v>1360</v>
      </c>
      <c r="K42" t="s">
        <v>1887</v>
      </c>
      <c r="L42" t="s">
        <v>75</v>
      </c>
      <c r="M42" t="s">
        <v>1888</v>
      </c>
      <c r="N42" t="s">
        <v>1889</v>
      </c>
      <c r="O42" t="s">
        <v>1890</v>
      </c>
      <c r="P42" t="s">
        <v>1867</v>
      </c>
      <c r="Q42" t="s">
        <v>1886</v>
      </c>
      <c r="R42" t="s">
        <v>1560</v>
      </c>
      <c r="S42" t="s">
        <v>1360</v>
      </c>
      <c r="T42" t="s">
        <v>1360</v>
      </c>
      <c r="U42" t="s">
        <v>1517</v>
      </c>
      <c r="V42" t="s">
        <v>1517</v>
      </c>
      <c r="W42" t="s">
        <v>1360</v>
      </c>
      <c r="X42" t="s">
        <v>1814</v>
      </c>
      <c r="Y42" t="s">
        <v>1517</v>
      </c>
      <c r="Z42" t="s">
        <v>1360</v>
      </c>
      <c r="AA42" t="s">
        <v>1360</v>
      </c>
      <c r="AB42" t="s">
        <v>1360</v>
      </c>
      <c r="AC42">
        <v>42848</v>
      </c>
      <c r="AD42" t="s">
        <v>1519</v>
      </c>
      <c r="AE42" t="s">
        <v>1360</v>
      </c>
      <c r="AF42" t="s">
        <v>1360</v>
      </c>
      <c r="AG42" t="s">
        <v>1601</v>
      </c>
      <c r="AH42" t="s">
        <v>1360</v>
      </c>
      <c r="AI42" t="s">
        <v>1360</v>
      </c>
      <c r="AJ42" t="s">
        <v>1360</v>
      </c>
      <c r="AK42" t="s">
        <v>1360</v>
      </c>
      <c r="AL42" t="s">
        <v>1360</v>
      </c>
      <c r="AM42" t="s">
        <v>1602</v>
      </c>
      <c r="AN42" t="s">
        <v>1891</v>
      </c>
      <c r="AO42" t="e">
        <f>_xlfn.XLOOKUP(AN42,#REF!,#REF!)</f>
        <v>#REF!</v>
      </c>
      <c r="AP42" t="s">
        <v>1360</v>
      </c>
      <c r="AQ42" t="s">
        <v>1360</v>
      </c>
      <c r="AR42" t="s">
        <v>1360</v>
      </c>
      <c r="AS42" t="s">
        <v>1604</v>
      </c>
      <c r="AT42" t="s">
        <v>1360</v>
      </c>
      <c r="AU42" t="s">
        <v>1360</v>
      </c>
      <c r="AV42" t="s">
        <v>1360</v>
      </c>
      <c r="AW42" t="s">
        <v>1360</v>
      </c>
      <c r="AX42" t="s">
        <v>1360</v>
      </c>
      <c r="AY42" t="s">
        <v>1360</v>
      </c>
      <c r="AZ42" t="s">
        <v>1360</v>
      </c>
      <c r="BA42" t="s">
        <v>1360</v>
      </c>
      <c r="BB42" t="s">
        <v>1360</v>
      </c>
      <c r="BC42" t="s">
        <v>1360</v>
      </c>
      <c r="BD42" t="s">
        <v>1360</v>
      </c>
      <c r="BE42" t="s">
        <v>1360</v>
      </c>
      <c r="BG42" t="s">
        <v>1360</v>
      </c>
      <c r="BH42" t="s">
        <v>1360</v>
      </c>
      <c r="BJ42" t="s">
        <v>1360</v>
      </c>
      <c r="BK42" t="s">
        <v>1360</v>
      </c>
      <c r="BL42" t="s">
        <v>1360</v>
      </c>
      <c r="BM42" t="s">
        <v>1892</v>
      </c>
      <c r="BN42" t="s">
        <v>1360</v>
      </c>
      <c r="BO42" t="s">
        <v>1360</v>
      </c>
      <c r="BP42" t="s">
        <v>1360</v>
      </c>
      <c r="BQ42" t="s">
        <v>1527</v>
      </c>
      <c r="BR42" t="s">
        <v>1817</v>
      </c>
      <c r="BS42" t="s">
        <v>1360</v>
      </c>
      <c r="BT42" t="s">
        <v>1360</v>
      </c>
      <c r="BU42" t="s">
        <v>1360</v>
      </c>
      <c r="BV42" t="s">
        <v>1360</v>
      </c>
      <c r="BW42" t="s">
        <v>1360</v>
      </c>
      <c r="BX42" t="s">
        <v>1360</v>
      </c>
      <c r="BY42" t="s">
        <v>1360</v>
      </c>
      <c r="BZ42" t="s">
        <v>1360</v>
      </c>
      <c r="CA42" t="s">
        <v>1360</v>
      </c>
      <c r="CB42" t="s">
        <v>1360</v>
      </c>
      <c r="CC42" t="s">
        <v>1893</v>
      </c>
      <c r="CD42" t="s">
        <v>1360</v>
      </c>
      <c r="CE42" t="s">
        <v>1360</v>
      </c>
      <c r="CF42" t="s">
        <v>1360</v>
      </c>
      <c r="CG42" t="s">
        <v>1360</v>
      </c>
      <c r="CH42" t="s">
        <v>1517</v>
      </c>
      <c r="CI42" t="s">
        <v>1360</v>
      </c>
      <c r="CJ42" t="s">
        <v>1360</v>
      </c>
      <c r="CK42" t="s">
        <v>1360</v>
      </c>
      <c r="CL42" t="s">
        <v>1360</v>
      </c>
      <c r="CM42" t="s">
        <v>1360</v>
      </c>
      <c r="CN42" t="s">
        <v>1360</v>
      </c>
      <c r="CO42" t="s">
        <v>1360</v>
      </c>
      <c r="CP42" t="s">
        <v>1360</v>
      </c>
      <c r="CR42">
        <v>0</v>
      </c>
      <c r="CS42" t="s">
        <v>1360</v>
      </c>
      <c r="CU42" t="s">
        <v>1360</v>
      </c>
      <c r="CV42" t="s">
        <v>1360</v>
      </c>
      <c r="CW42" t="s">
        <v>1360</v>
      </c>
      <c r="CX42" t="s">
        <v>1360</v>
      </c>
      <c r="CY42" t="s">
        <v>1360</v>
      </c>
      <c r="CZ42" t="s">
        <v>1360</v>
      </c>
      <c r="DA42" t="s">
        <v>1360</v>
      </c>
      <c r="DB42" t="s">
        <v>1360</v>
      </c>
      <c r="DC42" t="s">
        <v>1360</v>
      </c>
      <c r="DD42" t="s">
        <v>1360</v>
      </c>
      <c r="DE42" t="s">
        <v>1360</v>
      </c>
      <c r="DG42" t="s">
        <v>1517</v>
      </c>
      <c r="DH42" t="s">
        <v>1360</v>
      </c>
      <c r="DJ42" t="s">
        <v>1360</v>
      </c>
      <c r="DK42" t="s">
        <v>1517</v>
      </c>
      <c r="DL42" t="s">
        <v>1360</v>
      </c>
      <c r="DM42" t="s">
        <v>1360</v>
      </c>
      <c r="DN42" t="s">
        <v>1360</v>
      </c>
      <c r="DO42" t="s">
        <v>1360</v>
      </c>
      <c r="DP42" t="s">
        <v>1360</v>
      </c>
      <c r="DQ42" t="s">
        <v>1360</v>
      </c>
      <c r="DR42">
        <v>0</v>
      </c>
      <c r="DS42" t="s">
        <v>1360</v>
      </c>
      <c r="DT42" t="s">
        <v>1360</v>
      </c>
      <c r="DU42" t="s">
        <v>1360</v>
      </c>
      <c r="DV42" t="s">
        <v>1360</v>
      </c>
      <c r="DW42" t="s">
        <v>1360</v>
      </c>
      <c r="DX42" t="s">
        <v>1360</v>
      </c>
      <c r="DY42" t="s">
        <v>1360</v>
      </c>
      <c r="DZ42" t="s">
        <v>1360</v>
      </c>
      <c r="EA42" t="s">
        <v>1360</v>
      </c>
      <c r="EB42" t="s">
        <v>1360</v>
      </c>
      <c r="EC42" t="s">
        <v>1360</v>
      </c>
      <c r="ED42" t="s">
        <v>1360</v>
      </c>
      <c r="EE42" t="s">
        <v>1360</v>
      </c>
      <c r="EF42">
        <v>0</v>
      </c>
      <c r="EG42" t="s">
        <v>1360</v>
      </c>
      <c r="EH42" t="s">
        <v>1360</v>
      </c>
    </row>
    <row r="43" spans="1:138">
      <c r="A43" t="s">
        <v>1894</v>
      </c>
      <c r="B43" t="s">
        <v>1508</v>
      </c>
      <c r="C43" t="s">
        <v>1867</v>
      </c>
      <c r="D43" t="s">
        <v>1895</v>
      </c>
      <c r="E43" t="s">
        <v>1360</v>
      </c>
      <c r="F43" t="s">
        <v>1360</v>
      </c>
      <c r="G43" t="s">
        <v>1560</v>
      </c>
      <c r="H43" t="s">
        <v>1869</v>
      </c>
      <c r="I43" t="s">
        <v>1360</v>
      </c>
      <c r="J43" t="s">
        <v>1360</v>
      </c>
      <c r="K43" t="s">
        <v>1896</v>
      </c>
      <c r="L43" t="s">
        <v>75</v>
      </c>
      <c r="M43" t="s">
        <v>1897</v>
      </c>
      <c r="N43" t="s">
        <v>1898</v>
      </c>
      <c r="O43" t="s">
        <v>1899</v>
      </c>
      <c r="P43" t="s">
        <v>1867</v>
      </c>
      <c r="Q43" t="s">
        <v>1895</v>
      </c>
      <c r="R43" t="s">
        <v>1560</v>
      </c>
      <c r="S43" t="s">
        <v>1360</v>
      </c>
      <c r="T43" t="s">
        <v>1360</v>
      </c>
      <c r="U43" t="s">
        <v>1517</v>
      </c>
      <c r="V43" t="s">
        <v>1517</v>
      </c>
      <c r="W43" t="s">
        <v>1360</v>
      </c>
      <c r="X43" t="s">
        <v>1814</v>
      </c>
      <c r="Y43" t="s">
        <v>1517</v>
      </c>
      <c r="Z43" t="s">
        <v>1360</v>
      </c>
      <c r="AA43" t="s">
        <v>1360</v>
      </c>
      <c r="AB43" t="s">
        <v>1360</v>
      </c>
      <c r="AC43">
        <v>42848</v>
      </c>
      <c r="AD43" t="s">
        <v>1519</v>
      </c>
      <c r="AE43" t="s">
        <v>1360</v>
      </c>
      <c r="AF43" t="s">
        <v>1360</v>
      </c>
      <c r="AG43" t="s">
        <v>1601</v>
      </c>
      <c r="AH43" t="s">
        <v>1360</v>
      </c>
      <c r="AI43" t="s">
        <v>1360</v>
      </c>
      <c r="AJ43" t="s">
        <v>1360</v>
      </c>
      <c r="AK43" t="s">
        <v>1360</v>
      </c>
      <c r="AL43" t="s">
        <v>1360</v>
      </c>
      <c r="AM43" t="s">
        <v>1602</v>
      </c>
      <c r="AN43" t="s">
        <v>1900</v>
      </c>
      <c r="AO43" t="e">
        <f>_xlfn.XLOOKUP(AN43,#REF!,#REF!)</f>
        <v>#REF!</v>
      </c>
      <c r="AP43" t="s">
        <v>1360</v>
      </c>
      <c r="AQ43" t="s">
        <v>1360</v>
      </c>
      <c r="AR43" t="s">
        <v>1360</v>
      </c>
      <c r="AS43" t="s">
        <v>1604</v>
      </c>
      <c r="AT43" t="s">
        <v>1360</v>
      </c>
      <c r="AU43" t="s">
        <v>1360</v>
      </c>
      <c r="AV43" t="s">
        <v>1360</v>
      </c>
      <c r="AW43" t="s">
        <v>1360</v>
      </c>
      <c r="AX43" t="s">
        <v>1360</v>
      </c>
      <c r="AY43" t="s">
        <v>1360</v>
      </c>
      <c r="AZ43" t="s">
        <v>1360</v>
      </c>
      <c r="BA43" t="s">
        <v>1360</v>
      </c>
      <c r="BB43" t="s">
        <v>1360</v>
      </c>
      <c r="BC43" t="s">
        <v>1360</v>
      </c>
      <c r="BD43" t="s">
        <v>1360</v>
      </c>
      <c r="BE43" t="s">
        <v>1360</v>
      </c>
      <c r="BG43" t="s">
        <v>1360</v>
      </c>
      <c r="BH43" t="s">
        <v>1360</v>
      </c>
      <c r="BJ43" t="s">
        <v>1360</v>
      </c>
      <c r="BK43" t="s">
        <v>1360</v>
      </c>
      <c r="BL43" t="s">
        <v>1360</v>
      </c>
      <c r="BM43" t="s">
        <v>1901</v>
      </c>
      <c r="BN43" t="s">
        <v>1360</v>
      </c>
      <c r="BO43" t="s">
        <v>1360</v>
      </c>
      <c r="BP43" t="s">
        <v>1360</v>
      </c>
      <c r="BQ43" t="s">
        <v>1527</v>
      </c>
      <c r="BR43" t="s">
        <v>1817</v>
      </c>
      <c r="BS43" t="s">
        <v>1360</v>
      </c>
      <c r="BT43" t="s">
        <v>1360</v>
      </c>
      <c r="BU43" t="s">
        <v>1360</v>
      </c>
      <c r="BV43" t="s">
        <v>1360</v>
      </c>
      <c r="BW43" t="s">
        <v>1360</v>
      </c>
      <c r="BX43" t="s">
        <v>1360</v>
      </c>
      <c r="BY43" t="s">
        <v>1360</v>
      </c>
      <c r="BZ43" t="s">
        <v>1360</v>
      </c>
      <c r="CA43" t="s">
        <v>1360</v>
      </c>
      <c r="CB43" t="s">
        <v>1360</v>
      </c>
      <c r="CC43" t="s">
        <v>1902</v>
      </c>
      <c r="CD43" t="s">
        <v>1360</v>
      </c>
      <c r="CE43" t="s">
        <v>1360</v>
      </c>
      <c r="CF43" t="s">
        <v>1360</v>
      </c>
      <c r="CG43" t="s">
        <v>1360</v>
      </c>
      <c r="CH43" t="s">
        <v>1517</v>
      </c>
      <c r="CI43" t="s">
        <v>1360</v>
      </c>
      <c r="CJ43" t="s">
        <v>1360</v>
      </c>
      <c r="CK43" t="s">
        <v>1360</v>
      </c>
      <c r="CL43" t="s">
        <v>1360</v>
      </c>
      <c r="CM43" t="s">
        <v>1360</v>
      </c>
      <c r="CN43" t="s">
        <v>1360</v>
      </c>
      <c r="CO43" t="s">
        <v>1360</v>
      </c>
      <c r="CP43" t="s">
        <v>1360</v>
      </c>
      <c r="CR43">
        <v>0</v>
      </c>
      <c r="CS43" t="s">
        <v>1360</v>
      </c>
      <c r="CU43" t="s">
        <v>1360</v>
      </c>
      <c r="CV43" t="s">
        <v>1360</v>
      </c>
      <c r="CW43" t="s">
        <v>1360</v>
      </c>
      <c r="CX43" t="s">
        <v>1360</v>
      </c>
      <c r="CY43" t="s">
        <v>1360</v>
      </c>
      <c r="CZ43" t="s">
        <v>1360</v>
      </c>
      <c r="DA43" t="s">
        <v>1360</v>
      </c>
      <c r="DB43" t="s">
        <v>1360</v>
      </c>
      <c r="DC43" t="s">
        <v>1360</v>
      </c>
      <c r="DD43" t="s">
        <v>1360</v>
      </c>
      <c r="DE43" t="s">
        <v>1360</v>
      </c>
      <c r="DG43" t="s">
        <v>1517</v>
      </c>
      <c r="DH43" t="s">
        <v>1360</v>
      </c>
      <c r="DJ43" t="s">
        <v>1360</v>
      </c>
      <c r="DK43" t="s">
        <v>1517</v>
      </c>
      <c r="DL43" t="s">
        <v>1360</v>
      </c>
      <c r="DM43" t="s">
        <v>1360</v>
      </c>
      <c r="DN43" t="s">
        <v>1360</v>
      </c>
      <c r="DO43" t="s">
        <v>1360</v>
      </c>
      <c r="DP43" t="s">
        <v>1360</v>
      </c>
      <c r="DQ43" t="s">
        <v>1360</v>
      </c>
      <c r="DR43">
        <v>0</v>
      </c>
      <c r="DS43" t="s">
        <v>1360</v>
      </c>
      <c r="DT43" t="s">
        <v>1360</v>
      </c>
      <c r="DU43" t="s">
        <v>1360</v>
      </c>
      <c r="DV43" t="s">
        <v>1360</v>
      </c>
      <c r="DW43" t="s">
        <v>1360</v>
      </c>
      <c r="DX43" t="s">
        <v>1360</v>
      </c>
      <c r="DY43" t="s">
        <v>1360</v>
      </c>
      <c r="DZ43" t="s">
        <v>1360</v>
      </c>
      <c r="EA43" t="s">
        <v>1360</v>
      </c>
      <c r="EB43" t="s">
        <v>1360</v>
      </c>
      <c r="EC43" t="s">
        <v>1360</v>
      </c>
      <c r="ED43" t="s">
        <v>1360</v>
      </c>
      <c r="EE43" t="s">
        <v>1360</v>
      </c>
      <c r="EF43">
        <v>0</v>
      </c>
      <c r="EG43" t="s">
        <v>1360</v>
      </c>
      <c r="EH43" t="s">
        <v>1360</v>
      </c>
    </row>
    <row r="44" spans="1:138">
      <c r="A44" t="s">
        <v>1903</v>
      </c>
      <c r="B44" t="s">
        <v>1508</v>
      </c>
      <c r="C44" t="s">
        <v>1592</v>
      </c>
      <c r="D44" t="s">
        <v>1360</v>
      </c>
      <c r="E44" t="s">
        <v>1360</v>
      </c>
      <c r="F44" t="s">
        <v>1360</v>
      </c>
      <c r="G44" t="s">
        <v>1560</v>
      </c>
      <c r="H44" t="s">
        <v>1869</v>
      </c>
      <c r="I44" t="s">
        <v>1360</v>
      </c>
      <c r="J44" t="s">
        <v>1360</v>
      </c>
      <c r="K44" t="s">
        <v>1896</v>
      </c>
      <c r="L44" t="s">
        <v>75</v>
      </c>
      <c r="M44" t="s">
        <v>1596</v>
      </c>
      <c r="N44" t="s">
        <v>1904</v>
      </c>
      <c r="O44" t="s">
        <v>1905</v>
      </c>
      <c r="P44" t="s">
        <v>1592</v>
      </c>
      <c r="Q44" t="s">
        <v>1360</v>
      </c>
      <c r="R44" t="s">
        <v>1560</v>
      </c>
      <c r="S44" t="s">
        <v>1360</v>
      </c>
      <c r="T44" t="s">
        <v>1360</v>
      </c>
      <c r="U44" t="s">
        <v>1517</v>
      </c>
      <c r="V44" t="s">
        <v>1517</v>
      </c>
      <c r="W44" t="s">
        <v>1360</v>
      </c>
      <c r="X44" t="s">
        <v>1814</v>
      </c>
      <c r="Y44" t="s">
        <v>1517</v>
      </c>
      <c r="Z44" t="s">
        <v>1360</v>
      </c>
      <c r="AA44" t="s">
        <v>1360</v>
      </c>
      <c r="AB44" t="s">
        <v>1360</v>
      </c>
      <c r="AC44">
        <v>44078</v>
      </c>
      <c r="AD44" t="s">
        <v>1539</v>
      </c>
      <c r="AE44" t="s">
        <v>1360</v>
      </c>
      <c r="AF44" t="s">
        <v>1360</v>
      </c>
      <c r="AG44" t="s">
        <v>1601</v>
      </c>
      <c r="AH44" t="s">
        <v>1360</v>
      </c>
      <c r="AI44" t="s">
        <v>1360</v>
      </c>
      <c r="AJ44" t="s">
        <v>1360</v>
      </c>
      <c r="AK44" t="s">
        <v>1360</v>
      </c>
      <c r="AL44" t="s">
        <v>1360</v>
      </c>
      <c r="AM44" t="s">
        <v>1602</v>
      </c>
      <c r="AN44" t="s">
        <v>1906</v>
      </c>
      <c r="AO44" t="e">
        <f>_xlfn.XLOOKUP(AN44,#REF!,#REF!)</f>
        <v>#REF!</v>
      </c>
      <c r="AP44" t="s">
        <v>1360</v>
      </c>
      <c r="AQ44" t="s">
        <v>1360</v>
      </c>
      <c r="AR44" t="s">
        <v>1360</v>
      </c>
      <c r="AS44" t="s">
        <v>1907</v>
      </c>
      <c r="AT44" t="s">
        <v>1360</v>
      </c>
      <c r="AU44" t="s">
        <v>1360</v>
      </c>
      <c r="AV44" t="s">
        <v>1360</v>
      </c>
      <c r="AW44" t="s">
        <v>1360</v>
      </c>
      <c r="AX44" t="s">
        <v>1360</v>
      </c>
      <c r="AY44" t="s">
        <v>1360</v>
      </c>
      <c r="AZ44" t="s">
        <v>1360</v>
      </c>
      <c r="BA44" t="s">
        <v>1360</v>
      </c>
      <c r="BB44" t="s">
        <v>1360</v>
      </c>
      <c r="BC44" t="s">
        <v>1360</v>
      </c>
      <c r="BD44" t="s">
        <v>1360</v>
      </c>
      <c r="BE44" t="s">
        <v>1360</v>
      </c>
      <c r="BG44" t="s">
        <v>1360</v>
      </c>
      <c r="BH44" t="s">
        <v>1360</v>
      </c>
      <c r="BJ44" t="s">
        <v>1360</v>
      </c>
      <c r="BK44" t="s">
        <v>1360</v>
      </c>
      <c r="BL44" t="s">
        <v>1360</v>
      </c>
      <c r="BM44" t="s">
        <v>1908</v>
      </c>
      <c r="BN44" t="s">
        <v>1360</v>
      </c>
      <c r="BO44" t="s">
        <v>1360</v>
      </c>
      <c r="BP44" t="s">
        <v>1360</v>
      </c>
      <c r="BQ44" t="s">
        <v>1527</v>
      </c>
      <c r="BR44" t="s">
        <v>1817</v>
      </c>
      <c r="BS44" t="s">
        <v>1360</v>
      </c>
      <c r="BT44" t="s">
        <v>1360</v>
      </c>
      <c r="BU44" t="s">
        <v>1360</v>
      </c>
      <c r="BV44" t="s">
        <v>1360</v>
      </c>
      <c r="BW44" t="s">
        <v>1360</v>
      </c>
      <c r="BX44" t="s">
        <v>1360</v>
      </c>
      <c r="BY44" t="s">
        <v>1360</v>
      </c>
      <c r="BZ44" t="s">
        <v>1360</v>
      </c>
      <c r="CA44" t="s">
        <v>1360</v>
      </c>
      <c r="CB44" t="s">
        <v>1360</v>
      </c>
      <c r="CC44" t="s">
        <v>1909</v>
      </c>
      <c r="CD44" t="s">
        <v>1360</v>
      </c>
      <c r="CE44" t="s">
        <v>1360</v>
      </c>
      <c r="CF44" t="s">
        <v>1360</v>
      </c>
      <c r="CG44" t="s">
        <v>1360</v>
      </c>
      <c r="CH44" t="s">
        <v>1517</v>
      </c>
      <c r="CI44" t="s">
        <v>1360</v>
      </c>
      <c r="CJ44" t="s">
        <v>1360</v>
      </c>
      <c r="CK44" t="s">
        <v>1360</v>
      </c>
      <c r="CL44" t="s">
        <v>1360</v>
      </c>
      <c r="CM44" t="s">
        <v>1360</v>
      </c>
      <c r="CN44" t="s">
        <v>1360</v>
      </c>
      <c r="CO44" t="s">
        <v>1360</v>
      </c>
      <c r="CP44" t="s">
        <v>1360</v>
      </c>
      <c r="CR44">
        <v>0</v>
      </c>
      <c r="CS44" t="s">
        <v>1360</v>
      </c>
      <c r="CU44" t="s">
        <v>1360</v>
      </c>
      <c r="CV44" t="s">
        <v>1360</v>
      </c>
      <c r="CW44" t="s">
        <v>1360</v>
      </c>
      <c r="CX44" t="s">
        <v>1360</v>
      </c>
      <c r="CY44" t="s">
        <v>1360</v>
      </c>
      <c r="CZ44" t="s">
        <v>1360</v>
      </c>
      <c r="DA44" t="s">
        <v>1360</v>
      </c>
      <c r="DB44" t="s">
        <v>1360</v>
      </c>
      <c r="DC44" t="s">
        <v>1360</v>
      </c>
      <c r="DD44" t="s">
        <v>1360</v>
      </c>
      <c r="DE44" t="s">
        <v>1360</v>
      </c>
      <c r="DG44" t="s">
        <v>1517</v>
      </c>
      <c r="DH44" t="s">
        <v>1360</v>
      </c>
      <c r="DJ44" t="s">
        <v>1360</v>
      </c>
      <c r="DK44" t="s">
        <v>1517</v>
      </c>
      <c r="DL44" t="s">
        <v>1360</v>
      </c>
      <c r="DM44" t="s">
        <v>1360</v>
      </c>
      <c r="DN44" t="s">
        <v>1360</v>
      </c>
      <c r="DO44" t="s">
        <v>1360</v>
      </c>
      <c r="DP44" t="s">
        <v>1360</v>
      </c>
      <c r="DQ44" t="s">
        <v>1360</v>
      </c>
      <c r="DR44">
        <v>0</v>
      </c>
      <c r="DS44" t="s">
        <v>1360</v>
      </c>
      <c r="DT44" t="s">
        <v>1360</v>
      </c>
      <c r="DU44" t="s">
        <v>1360</v>
      </c>
      <c r="DV44" t="s">
        <v>1360</v>
      </c>
      <c r="DW44" t="s">
        <v>1360</v>
      </c>
      <c r="DX44" t="s">
        <v>1360</v>
      </c>
      <c r="DY44" t="s">
        <v>1360</v>
      </c>
      <c r="DZ44" t="s">
        <v>1360</v>
      </c>
      <c r="EA44" t="s">
        <v>1360</v>
      </c>
      <c r="EB44" t="s">
        <v>1360</v>
      </c>
      <c r="EC44" t="s">
        <v>1360</v>
      </c>
      <c r="ED44" t="s">
        <v>1360</v>
      </c>
      <c r="EE44" t="s">
        <v>1360</v>
      </c>
      <c r="EF44">
        <v>0</v>
      </c>
      <c r="EG44" t="s">
        <v>1360</v>
      </c>
      <c r="EH44" t="s">
        <v>1360</v>
      </c>
    </row>
    <row r="45" spans="1:138" hidden="1">
      <c r="A45" t="s">
        <v>1910</v>
      </c>
      <c r="B45" t="s">
        <v>1508</v>
      </c>
      <c r="C45" t="s">
        <v>1592</v>
      </c>
      <c r="D45" t="s">
        <v>1911</v>
      </c>
      <c r="E45" t="s">
        <v>1360</v>
      </c>
      <c r="F45" t="s">
        <v>1360</v>
      </c>
      <c r="G45" t="s">
        <v>1516</v>
      </c>
      <c r="H45" t="s">
        <v>1912</v>
      </c>
      <c r="I45" t="s">
        <v>1360</v>
      </c>
      <c r="J45" t="s">
        <v>1360</v>
      </c>
      <c r="K45" t="s">
        <v>1913</v>
      </c>
      <c r="L45" t="s">
        <v>32</v>
      </c>
      <c r="M45" t="s">
        <v>1914</v>
      </c>
      <c r="N45" t="s">
        <v>1915</v>
      </c>
      <c r="O45" t="s">
        <v>1916</v>
      </c>
      <c r="P45" t="s">
        <v>1592</v>
      </c>
      <c r="Q45" t="s">
        <v>1911</v>
      </c>
      <c r="R45" t="s">
        <v>1516</v>
      </c>
      <c r="S45" t="s">
        <v>1360</v>
      </c>
      <c r="T45" t="s">
        <v>1360</v>
      </c>
      <c r="U45" t="s">
        <v>1517</v>
      </c>
      <c r="V45" t="s">
        <v>1517</v>
      </c>
      <c r="W45" t="s">
        <v>1360</v>
      </c>
      <c r="X45" t="s">
        <v>1599</v>
      </c>
      <c r="Y45" t="s">
        <v>1517</v>
      </c>
      <c r="Z45" t="s">
        <v>1360</v>
      </c>
      <c r="AA45" t="s">
        <v>1360</v>
      </c>
      <c r="AB45" t="s">
        <v>1360</v>
      </c>
      <c r="AC45">
        <v>42848</v>
      </c>
      <c r="AD45" t="s">
        <v>1519</v>
      </c>
      <c r="AE45" t="s">
        <v>1360</v>
      </c>
      <c r="AF45" t="s">
        <v>1360</v>
      </c>
      <c r="AG45" t="s">
        <v>1601</v>
      </c>
      <c r="AH45" t="s">
        <v>1360</v>
      </c>
      <c r="AI45" t="s">
        <v>1360</v>
      </c>
      <c r="AJ45" t="s">
        <v>1360</v>
      </c>
      <c r="AK45" t="s">
        <v>1360</v>
      </c>
      <c r="AL45" t="s">
        <v>1360</v>
      </c>
      <c r="AM45" t="s">
        <v>1602</v>
      </c>
      <c r="AN45" t="s">
        <v>1917</v>
      </c>
      <c r="AO45" t="e">
        <f>_xlfn.XLOOKUP(AN45,#REF!,#REF!)</f>
        <v>#REF!</v>
      </c>
      <c r="AP45" t="s">
        <v>1360</v>
      </c>
      <c r="AQ45" t="s">
        <v>1360</v>
      </c>
      <c r="AR45" t="s">
        <v>1360</v>
      </c>
      <c r="AS45" t="s">
        <v>1604</v>
      </c>
      <c r="AT45" t="s">
        <v>1360</v>
      </c>
      <c r="AU45" t="s">
        <v>1360</v>
      </c>
      <c r="AV45" t="s">
        <v>1360</v>
      </c>
      <c r="AW45" t="s">
        <v>1360</v>
      </c>
      <c r="AX45" t="s">
        <v>1360</v>
      </c>
      <c r="AY45" t="s">
        <v>1360</v>
      </c>
      <c r="AZ45" t="s">
        <v>1360</v>
      </c>
      <c r="BA45" t="s">
        <v>1360</v>
      </c>
      <c r="BB45" t="s">
        <v>1360</v>
      </c>
      <c r="BC45" t="s">
        <v>1360</v>
      </c>
      <c r="BD45" t="s">
        <v>1360</v>
      </c>
      <c r="BE45" t="s">
        <v>1360</v>
      </c>
      <c r="BG45" t="s">
        <v>1360</v>
      </c>
      <c r="BH45" t="s">
        <v>1360</v>
      </c>
      <c r="BJ45" t="s">
        <v>1360</v>
      </c>
      <c r="BK45" t="s">
        <v>1360</v>
      </c>
      <c r="BL45" t="s">
        <v>1360</v>
      </c>
      <c r="BM45" t="s">
        <v>1918</v>
      </c>
      <c r="BN45" t="s">
        <v>1360</v>
      </c>
      <c r="BO45" t="s">
        <v>1360</v>
      </c>
      <c r="BP45" t="s">
        <v>1360</v>
      </c>
      <c r="BQ45" t="s">
        <v>1527</v>
      </c>
      <c r="BR45" t="s">
        <v>1528</v>
      </c>
      <c r="BS45" t="s">
        <v>1360</v>
      </c>
      <c r="BT45" t="s">
        <v>1360</v>
      </c>
      <c r="BU45" t="s">
        <v>1360</v>
      </c>
      <c r="BV45" t="s">
        <v>1360</v>
      </c>
      <c r="BW45" t="s">
        <v>1360</v>
      </c>
      <c r="BX45" t="s">
        <v>1360</v>
      </c>
      <c r="BY45" t="s">
        <v>1360</v>
      </c>
      <c r="BZ45" t="s">
        <v>1360</v>
      </c>
      <c r="CA45" t="s">
        <v>1360</v>
      </c>
      <c r="CB45" t="s">
        <v>1360</v>
      </c>
      <c r="CC45" t="s">
        <v>1919</v>
      </c>
      <c r="CD45" t="s">
        <v>1360</v>
      </c>
      <c r="CE45" t="s">
        <v>1360</v>
      </c>
      <c r="CF45" t="s">
        <v>1360</v>
      </c>
      <c r="CG45" t="s">
        <v>1360</v>
      </c>
      <c r="CH45" t="s">
        <v>1517</v>
      </c>
      <c r="CI45" t="s">
        <v>1360</v>
      </c>
      <c r="CJ45" t="s">
        <v>1360</v>
      </c>
      <c r="CK45" t="s">
        <v>1360</v>
      </c>
      <c r="CL45" t="s">
        <v>1360</v>
      </c>
      <c r="CM45" t="s">
        <v>1360</v>
      </c>
      <c r="CN45" t="s">
        <v>1360</v>
      </c>
      <c r="CO45" t="s">
        <v>1360</v>
      </c>
      <c r="CP45" t="s">
        <v>1360</v>
      </c>
      <c r="CR45">
        <v>0</v>
      </c>
      <c r="CS45" t="s">
        <v>1360</v>
      </c>
      <c r="CU45" t="s">
        <v>1360</v>
      </c>
      <c r="CV45" t="s">
        <v>1360</v>
      </c>
      <c r="CW45" t="s">
        <v>1360</v>
      </c>
      <c r="CX45" t="s">
        <v>1360</v>
      </c>
      <c r="CY45" t="s">
        <v>1360</v>
      </c>
      <c r="CZ45" t="s">
        <v>1360</v>
      </c>
      <c r="DA45" t="s">
        <v>1360</v>
      </c>
      <c r="DB45" t="s">
        <v>1360</v>
      </c>
      <c r="DC45" t="s">
        <v>1360</v>
      </c>
      <c r="DD45" t="s">
        <v>1360</v>
      </c>
      <c r="DE45" t="s">
        <v>1360</v>
      </c>
      <c r="DG45" t="s">
        <v>1517</v>
      </c>
      <c r="DH45" t="s">
        <v>1360</v>
      </c>
      <c r="DJ45" t="s">
        <v>1360</v>
      </c>
      <c r="DK45" t="s">
        <v>1517</v>
      </c>
      <c r="DL45" t="s">
        <v>1360</v>
      </c>
      <c r="DM45" t="s">
        <v>1360</v>
      </c>
      <c r="DN45" t="s">
        <v>1360</v>
      </c>
      <c r="DO45" t="s">
        <v>1360</v>
      </c>
      <c r="DP45" t="s">
        <v>1360</v>
      </c>
      <c r="DQ45" t="s">
        <v>1360</v>
      </c>
      <c r="DR45">
        <v>0</v>
      </c>
      <c r="DS45" t="s">
        <v>1360</v>
      </c>
      <c r="DT45" t="s">
        <v>1360</v>
      </c>
      <c r="DU45" t="s">
        <v>1360</v>
      </c>
      <c r="DV45" t="s">
        <v>1360</v>
      </c>
      <c r="DW45" t="s">
        <v>1360</v>
      </c>
      <c r="DX45" t="s">
        <v>1360</v>
      </c>
      <c r="DY45" t="s">
        <v>1360</v>
      </c>
      <c r="DZ45" t="s">
        <v>1360</v>
      </c>
      <c r="EA45" t="s">
        <v>1360</v>
      </c>
      <c r="EB45" t="s">
        <v>1360</v>
      </c>
      <c r="EC45" t="s">
        <v>1360</v>
      </c>
      <c r="ED45" t="s">
        <v>1360</v>
      </c>
      <c r="EE45" t="s">
        <v>1360</v>
      </c>
      <c r="EF45">
        <v>0</v>
      </c>
      <c r="EG45" t="s">
        <v>1360</v>
      </c>
      <c r="EH45" t="s">
        <v>1360</v>
      </c>
    </row>
    <row r="46" spans="1:138" hidden="1">
      <c r="A46" t="s">
        <v>1920</v>
      </c>
      <c r="B46" t="s">
        <v>1508</v>
      </c>
      <c r="C46" t="s">
        <v>1592</v>
      </c>
      <c r="D46" t="s">
        <v>1921</v>
      </c>
      <c r="E46" t="s">
        <v>1360</v>
      </c>
      <c r="F46" t="s">
        <v>1360</v>
      </c>
      <c r="G46" t="s">
        <v>1516</v>
      </c>
      <c r="H46" t="s">
        <v>1922</v>
      </c>
      <c r="I46" t="s">
        <v>1360</v>
      </c>
      <c r="J46" t="s">
        <v>1360</v>
      </c>
      <c r="K46" t="s">
        <v>1923</v>
      </c>
      <c r="L46" t="s">
        <v>32</v>
      </c>
      <c r="M46" t="s">
        <v>1914</v>
      </c>
      <c r="N46" t="s">
        <v>1924</v>
      </c>
      <c r="O46" t="s">
        <v>1925</v>
      </c>
      <c r="P46" t="s">
        <v>1592</v>
      </c>
      <c r="Q46" t="s">
        <v>1921</v>
      </c>
      <c r="R46" t="s">
        <v>1516</v>
      </c>
      <c r="S46" t="s">
        <v>1360</v>
      </c>
      <c r="T46" t="s">
        <v>1360</v>
      </c>
      <c r="U46" t="s">
        <v>1517</v>
      </c>
      <c r="V46" t="s">
        <v>1517</v>
      </c>
      <c r="W46" t="s">
        <v>1360</v>
      </c>
      <c r="X46" t="s">
        <v>1599</v>
      </c>
      <c r="Y46" t="s">
        <v>1517</v>
      </c>
      <c r="Z46" t="s">
        <v>1360</v>
      </c>
      <c r="AA46" t="s">
        <v>1360</v>
      </c>
      <c r="AB46" t="s">
        <v>1360</v>
      </c>
      <c r="AC46">
        <v>42848</v>
      </c>
      <c r="AD46" t="s">
        <v>1519</v>
      </c>
      <c r="AE46" t="s">
        <v>1360</v>
      </c>
      <c r="AF46" t="s">
        <v>1360</v>
      </c>
      <c r="AG46" t="s">
        <v>1601</v>
      </c>
      <c r="AH46" t="s">
        <v>1360</v>
      </c>
      <c r="AI46" t="s">
        <v>1360</v>
      </c>
      <c r="AJ46" t="s">
        <v>1360</v>
      </c>
      <c r="AK46" t="s">
        <v>1360</v>
      </c>
      <c r="AL46" t="s">
        <v>1360</v>
      </c>
      <c r="AM46" t="s">
        <v>1602</v>
      </c>
      <c r="AN46" t="s">
        <v>1926</v>
      </c>
      <c r="AO46" t="e">
        <f>_xlfn.XLOOKUP(AN46,#REF!,#REF!)</f>
        <v>#REF!</v>
      </c>
      <c r="AP46" t="s">
        <v>1360</v>
      </c>
      <c r="AQ46" t="s">
        <v>1360</v>
      </c>
      <c r="AR46" t="s">
        <v>1360</v>
      </c>
      <c r="AS46" t="s">
        <v>1604</v>
      </c>
      <c r="AT46" t="s">
        <v>1360</v>
      </c>
      <c r="AU46" t="s">
        <v>1360</v>
      </c>
      <c r="AV46" t="s">
        <v>1360</v>
      </c>
      <c r="AW46" t="s">
        <v>1360</v>
      </c>
      <c r="AX46" t="s">
        <v>1360</v>
      </c>
      <c r="AY46" t="s">
        <v>1360</v>
      </c>
      <c r="AZ46" t="s">
        <v>1360</v>
      </c>
      <c r="BA46" t="s">
        <v>1360</v>
      </c>
      <c r="BB46" t="s">
        <v>1360</v>
      </c>
      <c r="BC46" t="s">
        <v>1360</v>
      </c>
      <c r="BD46" t="s">
        <v>1360</v>
      </c>
      <c r="BE46" t="s">
        <v>1360</v>
      </c>
      <c r="BG46" t="s">
        <v>1360</v>
      </c>
      <c r="BH46" t="s">
        <v>1360</v>
      </c>
      <c r="BJ46" t="s">
        <v>1360</v>
      </c>
      <c r="BK46" t="s">
        <v>1360</v>
      </c>
      <c r="BL46" t="s">
        <v>1360</v>
      </c>
      <c r="BM46" t="s">
        <v>1927</v>
      </c>
      <c r="BN46" t="s">
        <v>1360</v>
      </c>
      <c r="BO46" t="s">
        <v>1360</v>
      </c>
      <c r="BP46" t="s">
        <v>1360</v>
      </c>
      <c r="BQ46" t="s">
        <v>1527</v>
      </c>
      <c r="BR46" t="s">
        <v>1528</v>
      </c>
      <c r="BS46" t="s">
        <v>1360</v>
      </c>
      <c r="BT46" t="s">
        <v>1360</v>
      </c>
      <c r="BU46" t="s">
        <v>1360</v>
      </c>
      <c r="BV46" t="s">
        <v>1360</v>
      </c>
      <c r="BW46" t="s">
        <v>1360</v>
      </c>
      <c r="BX46" t="s">
        <v>1360</v>
      </c>
      <c r="BY46" t="s">
        <v>1360</v>
      </c>
      <c r="BZ46" t="s">
        <v>1360</v>
      </c>
      <c r="CA46" t="s">
        <v>1360</v>
      </c>
      <c r="CB46" t="s">
        <v>1360</v>
      </c>
      <c r="CC46" t="s">
        <v>1928</v>
      </c>
      <c r="CD46" t="s">
        <v>1360</v>
      </c>
      <c r="CE46" t="s">
        <v>1360</v>
      </c>
      <c r="CF46" t="s">
        <v>1360</v>
      </c>
      <c r="CG46" t="s">
        <v>1360</v>
      </c>
      <c r="CH46" t="s">
        <v>1517</v>
      </c>
      <c r="CI46" t="s">
        <v>1360</v>
      </c>
      <c r="CJ46" t="s">
        <v>1360</v>
      </c>
      <c r="CK46" t="s">
        <v>1360</v>
      </c>
      <c r="CL46" t="s">
        <v>1360</v>
      </c>
      <c r="CM46" t="s">
        <v>1360</v>
      </c>
      <c r="CN46" t="s">
        <v>1360</v>
      </c>
      <c r="CO46" t="s">
        <v>1360</v>
      </c>
      <c r="CP46" t="s">
        <v>1360</v>
      </c>
      <c r="CR46">
        <v>0</v>
      </c>
      <c r="CS46" t="s">
        <v>1360</v>
      </c>
      <c r="CU46" t="s">
        <v>1360</v>
      </c>
      <c r="CV46" t="s">
        <v>1360</v>
      </c>
      <c r="CW46" t="s">
        <v>1360</v>
      </c>
      <c r="CX46" t="s">
        <v>1360</v>
      </c>
      <c r="CY46" t="s">
        <v>1360</v>
      </c>
      <c r="CZ46" t="s">
        <v>1360</v>
      </c>
      <c r="DA46" t="s">
        <v>1360</v>
      </c>
      <c r="DB46" t="s">
        <v>1360</v>
      </c>
      <c r="DC46" t="s">
        <v>1360</v>
      </c>
      <c r="DD46" t="s">
        <v>1360</v>
      </c>
      <c r="DE46" t="s">
        <v>1360</v>
      </c>
      <c r="DG46" t="s">
        <v>1517</v>
      </c>
      <c r="DH46" t="s">
        <v>1360</v>
      </c>
      <c r="DJ46" t="s">
        <v>1360</v>
      </c>
      <c r="DK46" t="s">
        <v>1517</v>
      </c>
      <c r="DL46" t="s">
        <v>1360</v>
      </c>
      <c r="DM46" t="s">
        <v>1360</v>
      </c>
      <c r="DN46" t="s">
        <v>1360</v>
      </c>
      <c r="DO46" t="s">
        <v>1360</v>
      </c>
      <c r="DP46" t="s">
        <v>1360</v>
      </c>
      <c r="DQ46" t="s">
        <v>1360</v>
      </c>
      <c r="DR46">
        <v>0</v>
      </c>
      <c r="DS46" t="s">
        <v>1360</v>
      </c>
      <c r="DT46" t="s">
        <v>1360</v>
      </c>
      <c r="DU46" t="s">
        <v>1360</v>
      </c>
      <c r="DV46" t="s">
        <v>1360</v>
      </c>
      <c r="DW46" t="s">
        <v>1360</v>
      </c>
      <c r="DX46" t="s">
        <v>1360</v>
      </c>
      <c r="DY46" t="s">
        <v>1360</v>
      </c>
      <c r="DZ46" t="s">
        <v>1360</v>
      </c>
      <c r="EA46" t="s">
        <v>1360</v>
      </c>
      <c r="EB46" t="s">
        <v>1360</v>
      </c>
      <c r="EC46" t="s">
        <v>1360</v>
      </c>
      <c r="ED46" t="s">
        <v>1360</v>
      </c>
      <c r="EE46" t="s">
        <v>1360</v>
      </c>
      <c r="EF46">
        <v>0</v>
      </c>
      <c r="EG46" t="s">
        <v>1360</v>
      </c>
      <c r="EH46" t="s">
        <v>1360</v>
      </c>
    </row>
    <row r="47" spans="1:138" hidden="1">
      <c r="A47" t="s">
        <v>1929</v>
      </c>
      <c r="B47" t="s">
        <v>1508</v>
      </c>
      <c r="C47" t="s">
        <v>1592</v>
      </c>
      <c r="D47" t="s">
        <v>1930</v>
      </c>
      <c r="E47" t="s">
        <v>1360</v>
      </c>
      <c r="F47" t="s">
        <v>1360</v>
      </c>
      <c r="G47" t="s">
        <v>1931</v>
      </c>
      <c r="H47" t="s">
        <v>1932</v>
      </c>
      <c r="I47" t="s">
        <v>1360</v>
      </c>
      <c r="J47" t="s">
        <v>1360</v>
      </c>
      <c r="K47" t="s">
        <v>1933</v>
      </c>
      <c r="L47" t="s">
        <v>22</v>
      </c>
      <c r="M47" t="s">
        <v>1930</v>
      </c>
      <c r="N47" t="s">
        <v>1934</v>
      </c>
      <c r="O47" t="s">
        <v>1935</v>
      </c>
      <c r="P47" t="s">
        <v>1592</v>
      </c>
      <c r="Q47" t="s">
        <v>1930</v>
      </c>
      <c r="R47" t="s">
        <v>1931</v>
      </c>
      <c r="S47" t="s">
        <v>1360</v>
      </c>
      <c r="T47" t="s">
        <v>1360</v>
      </c>
      <c r="U47" t="s">
        <v>1517</v>
      </c>
      <c r="V47" t="s">
        <v>1517</v>
      </c>
      <c r="W47" t="s">
        <v>1360</v>
      </c>
      <c r="X47" t="s">
        <v>1599</v>
      </c>
      <c r="Y47" t="s">
        <v>1517</v>
      </c>
      <c r="Z47" t="s">
        <v>1360</v>
      </c>
      <c r="AA47" t="s">
        <v>1360</v>
      </c>
      <c r="AB47" t="s">
        <v>1360</v>
      </c>
      <c r="AC47">
        <v>43097</v>
      </c>
      <c r="AD47" t="s">
        <v>1539</v>
      </c>
      <c r="AE47" t="s">
        <v>1360</v>
      </c>
      <c r="AF47" t="s">
        <v>1360</v>
      </c>
      <c r="AG47" t="s">
        <v>1601</v>
      </c>
      <c r="AH47" t="s">
        <v>1360</v>
      </c>
      <c r="AI47" t="s">
        <v>1360</v>
      </c>
      <c r="AJ47" t="s">
        <v>1360</v>
      </c>
      <c r="AK47" t="s">
        <v>1360</v>
      </c>
      <c r="AL47" t="s">
        <v>1360</v>
      </c>
      <c r="AM47" t="s">
        <v>1602</v>
      </c>
      <c r="AN47" t="s">
        <v>1936</v>
      </c>
      <c r="AO47" t="e">
        <f>_xlfn.XLOOKUP(AN47,#REF!,#REF!)</f>
        <v>#REF!</v>
      </c>
      <c r="AP47" t="s">
        <v>1360</v>
      </c>
      <c r="AQ47" t="s">
        <v>1360</v>
      </c>
      <c r="AR47" t="s">
        <v>1360</v>
      </c>
      <c r="AS47" t="s">
        <v>1937</v>
      </c>
      <c r="AT47" t="s">
        <v>1360</v>
      </c>
      <c r="AU47" t="s">
        <v>1360</v>
      </c>
      <c r="AV47" t="s">
        <v>1360</v>
      </c>
      <c r="AW47" t="s">
        <v>1360</v>
      </c>
      <c r="AX47" t="s">
        <v>1360</v>
      </c>
      <c r="AY47" t="s">
        <v>1360</v>
      </c>
      <c r="AZ47" t="s">
        <v>1360</v>
      </c>
      <c r="BA47" t="s">
        <v>1360</v>
      </c>
      <c r="BB47" t="s">
        <v>1360</v>
      </c>
      <c r="BC47" t="s">
        <v>1360</v>
      </c>
      <c r="BD47" t="s">
        <v>1360</v>
      </c>
      <c r="BE47" t="s">
        <v>1360</v>
      </c>
      <c r="BG47" t="s">
        <v>1360</v>
      </c>
      <c r="BH47" t="s">
        <v>1360</v>
      </c>
      <c r="BJ47" t="s">
        <v>1360</v>
      </c>
      <c r="BK47" t="s">
        <v>1360</v>
      </c>
      <c r="BL47" t="s">
        <v>1360</v>
      </c>
      <c r="BM47" t="s">
        <v>1938</v>
      </c>
      <c r="BN47" t="s">
        <v>1360</v>
      </c>
      <c r="BO47" t="s">
        <v>1360</v>
      </c>
      <c r="BP47" t="s">
        <v>1360</v>
      </c>
      <c r="BQ47" t="s">
        <v>1527</v>
      </c>
      <c r="BR47" t="s">
        <v>1939</v>
      </c>
      <c r="BS47" t="s">
        <v>1360</v>
      </c>
      <c r="BT47" t="s">
        <v>1360</v>
      </c>
      <c r="BU47" t="s">
        <v>1360</v>
      </c>
      <c r="BV47" t="s">
        <v>1360</v>
      </c>
      <c r="BW47" t="s">
        <v>1360</v>
      </c>
      <c r="BX47" t="s">
        <v>1360</v>
      </c>
      <c r="BY47" t="s">
        <v>1360</v>
      </c>
      <c r="BZ47" t="s">
        <v>1360</v>
      </c>
      <c r="CA47" t="s">
        <v>1360</v>
      </c>
      <c r="CB47" t="s">
        <v>1360</v>
      </c>
      <c r="CC47" t="s">
        <v>1940</v>
      </c>
      <c r="CD47" t="s">
        <v>1360</v>
      </c>
      <c r="CE47" t="s">
        <v>1360</v>
      </c>
      <c r="CF47" t="s">
        <v>1360</v>
      </c>
      <c r="CG47" t="s">
        <v>1360</v>
      </c>
      <c r="CH47" t="s">
        <v>1517</v>
      </c>
      <c r="CI47" t="s">
        <v>1360</v>
      </c>
      <c r="CJ47" t="s">
        <v>1360</v>
      </c>
      <c r="CK47" t="s">
        <v>1360</v>
      </c>
      <c r="CL47" t="s">
        <v>1360</v>
      </c>
      <c r="CM47" t="s">
        <v>1360</v>
      </c>
      <c r="CN47" t="s">
        <v>1360</v>
      </c>
      <c r="CO47" t="s">
        <v>1360</v>
      </c>
      <c r="CP47" t="s">
        <v>1360</v>
      </c>
      <c r="CR47">
        <v>0</v>
      </c>
      <c r="CS47" t="s">
        <v>1360</v>
      </c>
      <c r="CU47" t="s">
        <v>1360</v>
      </c>
      <c r="CV47" t="s">
        <v>1360</v>
      </c>
      <c r="CW47" t="s">
        <v>1360</v>
      </c>
      <c r="CX47" t="s">
        <v>1360</v>
      </c>
      <c r="CY47" t="s">
        <v>1360</v>
      </c>
      <c r="CZ47" t="s">
        <v>1360</v>
      </c>
      <c r="DA47" t="s">
        <v>1360</v>
      </c>
      <c r="DB47" t="s">
        <v>1360</v>
      </c>
      <c r="DC47" t="s">
        <v>1360</v>
      </c>
      <c r="DD47" t="s">
        <v>1360</v>
      </c>
      <c r="DE47" t="s">
        <v>1360</v>
      </c>
      <c r="DG47" t="s">
        <v>1517</v>
      </c>
      <c r="DH47" t="s">
        <v>1360</v>
      </c>
      <c r="DJ47" t="s">
        <v>1360</v>
      </c>
      <c r="DK47" t="s">
        <v>1517</v>
      </c>
      <c r="DL47" t="s">
        <v>1360</v>
      </c>
      <c r="DM47" t="s">
        <v>1360</v>
      </c>
      <c r="DN47" t="s">
        <v>1360</v>
      </c>
      <c r="DO47" t="s">
        <v>1360</v>
      </c>
      <c r="DP47" t="s">
        <v>1360</v>
      </c>
      <c r="DQ47" t="s">
        <v>1360</v>
      </c>
      <c r="DR47">
        <v>0</v>
      </c>
      <c r="DS47" t="s">
        <v>1360</v>
      </c>
      <c r="DT47" t="s">
        <v>1360</v>
      </c>
      <c r="DU47" t="s">
        <v>1360</v>
      </c>
      <c r="DV47" t="s">
        <v>1360</v>
      </c>
      <c r="DW47" t="s">
        <v>1360</v>
      </c>
      <c r="DX47" t="s">
        <v>1360</v>
      </c>
      <c r="DY47" t="s">
        <v>1360</v>
      </c>
      <c r="DZ47" t="s">
        <v>1360</v>
      </c>
      <c r="EA47" t="s">
        <v>1360</v>
      </c>
      <c r="EB47" t="s">
        <v>1360</v>
      </c>
      <c r="EC47" t="s">
        <v>1360</v>
      </c>
      <c r="ED47" t="s">
        <v>1360</v>
      </c>
      <c r="EE47" t="s">
        <v>1360</v>
      </c>
      <c r="EF47">
        <v>0</v>
      </c>
      <c r="EG47" t="s">
        <v>1360</v>
      </c>
      <c r="EH47" t="s">
        <v>1360</v>
      </c>
    </row>
    <row r="48" spans="1:138" hidden="1">
      <c r="A48" t="s">
        <v>1941</v>
      </c>
      <c r="B48" t="s">
        <v>1508</v>
      </c>
      <c r="C48" t="s">
        <v>1592</v>
      </c>
      <c r="D48" t="s">
        <v>1942</v>
      </c>
      <c r="E48" t="s">
        <v>1360</v>
      </c>
      <c r="F48" t="s">
        <v>1360</v>
      </c>
      <c r="G48" t="s">
        <v>1943</v>
      </c>
      <c r="H48" t="s">
        <v>1944</v>
      </c>
      <c r="I48" t="s">
        <v>1360</v>
      </c>
      <c r="J48" t="s">
        <v>1360</v>
      </c>
      <c r="K48" t="s">
        <v>1945</v>
      </c>
      <c r="L48" t="s">
        <v>22</v>
      </c>
      <c r="M48" t="s">
        <v>1942</v>
      </c>
      <c r="N48" t="s">
        <v>1946</v>
      </c>
      <c r="O48" t="s">
        <v>1947</v>
      </c>
      <c r="P48" t="s">
        <v>1592</v>
      </c>
      <c r="Q48" t="s">
        <v>1942</v>
      </c>
      <c r="R48" t="s">
        <v>1943</v>
      </c>
      <c r="S48" t="s">
        <v>1360</v>
      </c>
      <c r="T48" t="s">
        <v>1360</v>
      </c>
      <c r="U48" t="s">
        <v>1517</v>
      </c>
      <c r="V48" t="s">
        <v>1517</v>
      </c>
      <c r="W48" t="s">
        <v>1360</v>
      </c>
      <c r="X48" t="s">
        <v>1599</v>
      </c>
      <c r="Y48" t="s">
        <v>1517</v>
      </c>
      <c r="Z48" t="s">
        <v>1360</v>
      </c>
      <c r="AA48" t="s">
        <v>1360</v>
      </c>
      <c r="AB48" t="s">
        <v>1360</v>
      </c>
      <c r="AC48">
        <v>43097</v>
      </c>
      <c r="AD48" t="s">
        <v>1539</v>
      </c>
      <c r="AE48" t="s">
        <v>1360</v>
      </c>
      <c r="AF48" t="s">
        <v>1360</v>
      </c>
      <c r="AG48" t="s">
        <v>1601</v>
      </c>
      <c r="AH48" t="s">
        <v>1360</v>
      </c>
      <c r="AI48" t="s">
        <v>1360</v>
      </c>
      <c r="AJ48" t="s">
        <v>1360</v>
      </c>
      <c r="AK48" t="s">
        <v>1360</v>
      </c>
      <c r="AL48" t="s">
        <v>1360</v>
      </c>
      <c r="AM48" t="s">
        <v>1602</v>
      </c>
      <c r="AN48" t="s">
        <v>1948</v>
      </c>
      <c r="AO48" t="e">
        <f>_xlfn.XLOOKUP(AN48,#REF!,#REF!)</f>
        <v>#REF!</v>
      </c>
      <c r="AP48" t="s">
        <v>1360</v>
      </c>
      <c r="AQ48" t="s">
        <v>1360</v>
      </c>
      <c r="AR48" t="s">
        <v>1360</v>
      </c>
      <c r="AS48" t="s">
        <v>1949</v>
      </c>
      <c r="AT48" t="s">
        <v>1360</v>
      </c>
      <c r="AU48" t="s">
        <v>1360</v>
      </c>
      <c r="AV48" t="s">
        <v>1360</v>
      </c>
      <c r="AW48" t="s">
        <v>1360</v>
      </c>
      <c r="AX48" t="s">
        <v>1360</v>
      </c>
      <c r="AY48" t="s">
        <v>1360</v>
      </c>
      <c r="AZ48" t="s">
        <v>1360</v>
      </c>
      <c r="BA48" t="s">
        <v>1360</v>
      </c>
      <c r="BB48" t="s">
        <v>1360</v>
      </c>
      <c r="BC48" t="s">
        <v>1360</v>
      </c>
      <c r="BD48" t="s">
        <v>1360</v>
      </c>
      <c r="BE48" t="s">
        <v>1360</v>
      </c>
      <c r="BG48" t="s">
        <v>1360</v>
      </c>
      <c r="BH48" t="s">
        <v>1360</v>
      </c>
      <c r="BJ48" t="s">
        <v>1360</v>
      </c>
      <c r="BK48" t="s">
        <v>1360</v>
      </c>
      <c r="BL48" t="s">
        <v>1360</v>
      </c>
      <c r="BM48" t="s">
        <v>1950</v>
      </c>
      <c r="BN48" t="s">
        <v>1360</v>
      </c>
      <c r="BO48" t="s">
        <v>1360</v>
      </c>
      <c r="BP48" t="s">
        <v>1360</v>
      </c>
      <c r="BQ48" t="s">
        <v>1527</v>
      </c>
      <c r="BR48" t="s">
        <v>1951</v>
      </c>
      <c r="BS48" t="s">
        <v>1360</v>
      </c>
      <c r="BT48" t="s">
        <v>1360</v>
      </c>
      <c r="BU48" t="s">
        <v>1360</v>
      </c>
      <c r="BV48" t="s">
        <v>1360</v>
      </c>
      <c r="BW48" t="s">
        <v>1360</v>
      </c>
      <c r="BX48" t="s">
        <v>1360</v>
      </c>
      <c r="BY48" t="s">
        <v>1360</v>
      </c>
      <c r="BZ48" t="s">
        <v>1360</v>
      </c>
      <c r="CA48" t="s">
        <v>1360</v>
      </c>
      <c r="CB48" t="s">
        <v>1360</v>
      </c>
      <c r="CC48" t="s">
        <v>1952</v>
      </c>
      <c r="CD48" t="s">
        <v>1360</v>
      </c>
      <c r="CE48" t="s">
        <v>1360</v>
      </c>
      <c r="CF48" t="s">
        <v>1360</v>
      </c>
      <c r="CG48" t="s">
        <v>1360</v>
      </c>
      <c r="CH48" t="s">
        <v>1517</v>
      </c>
      <c r="CI48" t="s">
        <v>1360</v>
      </c>
      <c r="CJ48" t="s">
        <v>1360</v>
      </c>
      <c r="CK48" t="s">
        <v>1360</v>
      </c>
      <c r="CL48" t="s">
        <v>1360</v>
      </c>
      <c r="CM48" t="s">
        <v>1360</v>
      </c>
      <c r="CN48" t="s">
        <v>1360</v>
      </c>
      <c r="CO48" t="s">
        <v>1360</v>
      </c>
      <c r="CP48" t="s">
        <v>1360</v>
      </c>
      <c r="CR48">
        <v>0</v>
      </c>
      <c r="CS48" t="s">
        <v>1360</v>
      </c>
      <c r="CU48" t="s">
        <v>1360</v>
      </c>
      <c r="CV48" t="s">
        <v>1360</v>
      </c>
      <c r="CW48" t="s">
        <v>1360</v>
      </c>
      <c r="CX48" t="s">
        <v>1360</v>
      </c>
      <c r="CY48" t="s">
        <v>1360</v>
      </c>
      <c r="CZ48" t="s">
        <v>1360</v>
      </c>
      <c r="DA48" t="s">
        <v>1360</v>
      </c>
      <c r="DB48" t="s">
        <v>1360</v>
      </c>
      <c r="DC48" t="s">
        <v>1360</v>
      </c>
      <c r="DD48" t="s">
        <v>1360</v>
      </c>
      <c r="DE48" t="s">
        <v>1360</v>
      </c>
      <c r="DG48" t="s">
        <v>1517</v>
      </c>
      <c r="DH48" t="s">
        <v>1360</v>
      </c>
      <c r="DJ48" t="s">
        <v>1360</v>
      </c>
      <c r="DK48" t="s">
        <v>1517</v>
      </c>
      <c r="DL48" t="s">
        <v>1360</v>
      </c>
      <c r="DM48" t="s">
        <v>1360</v>
      </c>
      <c r="DN48" t="s">
        <v>1360</v>
      </c>
      <c r="DO48" t="s">
        <v>1360</v>
      </c>
      <c r="DP48" t="s">
        <v>1360</v>
      </c>
      <c r="DQ48" t="s">
        <v>1360</v>
      </c>
      <c r="DR48">
        <v>0</v>
      </c>
      <c r="DS48" t="s">
        <v>1360</v>
      </c>
      <c r="DT48" t="s">
        <v>1360</v>
      </c>
      <c r="DU48" t="s">
        <v>1360</v>
      </c>
      <c r="DV48" t="s">
        <v>1360</v>
      </c>
      <c r="DW48" t="s">
        <v>1360</v>
      </c>
      <c r="DX48" t="s">
        <v>1360</v>
      </c>
      <c r="DY48" t="s">
        <v>1360</v>
      </c>
      <c r="DZ48" t="s">
        <v>1360</v>
      </c>
      <c r="EA48" t="s">
        <v>1360</v>
      </c>
      <c r="EB48" t="s">
        <v>1360</v>
      </c>
      <c r="EC48" t="s">
        <v>1360</v>
      </c>
      <c r="ED48" t="s">
        <v>1360</v>
      </c>
      <c r="EE48" t="s">
        <v>1360</v>
      </c>
      <c r="EF48">
        <v>0</v>
      </c>
      <c r="EG48" t="s">
        <v>1360</v>
      </c>
      <c r="EH48" t="s">
        <v>1360</v>
      </c>
    </row>
    <row r="49" spans="1:138" hidden="1">
      <c r="A49" t="s">
        <v>1953</v>
      </c>
      <c r="B49" t="s">
        <v>1508</v>
      </c>
      <c r="C49" t="s">
        <v>1592</v>
      </c>
      <c r="D49" t="s">
        <v>1360</v>
      </c>
      <c r="E49" t="s">
        <v>1360</v>
      </c>
      <c r="F49" t="s">
        <v>1360</v>
      </c>
      <c r="G49" t="s">
        <v>1954</v>
      </c>
      <c r="H49" t="s">
        <v>1955</v>
      </c>
      <c r="I49" t="s">
        <v>1360</v>
      </c>
      <c r="J49" t="s">
        <v>1360</v>
      </c>
      <c r="K49" t="s">
        <v>1956</v>
      </c>
      <c r="L49" t="s">
        <v>18</v>
      </c>
      <c r="M49" t="s">
        <v>1957</v>
      </c>
      <c r="N49" t="s">
        <v>1958</v>
      </c>
      <c r="O49" t="s">
        <v>1959</v>
      </c>
      <c r="P49" t="s">
        <v>1592</v>
      </c>
      <c r="Q49" t="s">
        <v>1360</v>
      </c>
      <c r="R49" t="s">
        <v>1954</v>
      </c>
      <c r="S49" t="s">
        <v>1360</v>
      </c>
      <c r="T49" t="s">
        <v>1360</v>
      </c>
      <c r="U49" t="s">
        <v>1517</v>
      </c>
      <c r="V49" t="s">
        <v>1517</v>
      </c>
      <c r="W49" t="s">
        <v>1360</v>
      </c>
      <c r="X49" t="s">
        <v>1599</v>
      </c>
      <c r="Y49" t="s">
        <v>1517</v>
      </c>
      <c r="Z49" t="s">
        <v>1360</v>
      </c>
      <c r="AA49" t="s">
        <v>1360</v>
      </c>
      <c r="AB49" t="s">
        <v>1360</v>
      </c>
      <c r="AC49">
        <v>43804</v>
      </c>
      <c r="AD49" t="s">
        <v>1539</v>
      </c>
      <c r="AE49" t="s">
        <v>1360</v>
      </c>
      <c r="AF49" t="s">
        <v>1360</v>
      </c>
      <c r="AG49" t="s">
        <v>1601</v>
      </c>
      <c r="AH49" t="s">
        <v>1360</v>
      </c>
      <c r="AI49" t="s">
        <v>1360</v>
      </c>
      <c r="AJ49" t="s">
        <v>1360</v>
      </c>
      <c r="AK49" t="s">
        <v>1360</v>
      </c>
      <c r="AL49" t="s">
        <v>1360</v>
      </c>
      <c r="AM49" t="s">
        <v>1602</v>
      </c>
      <c r="AN49" t="s">
        <v>1960</v>
      </c>
      <c r="AO49" t="e">
        <f>_xlfn.XLOOKUP(AN49,#REF!,#REF!)</f>
        <v>#REF!</v>
      </c>
      <c r="AP49" t="s">
        <v>1360</v>
      </c>
      <c r="AQ49" t="s">
        <v>1360</v>
      </c>
      <c r="AR49" t="s">
        <v>1360</v>
      </c>
      <c r="AS49" t="s">
        <v>1604</v>
      </c>
      <c r="AT49" t="s">
        <v>1360</v>
      </c>
      <c r="AU49" t="s">
        <v>1360</v>
      </c>
      <c r="AV49" t="s">
        <v>1360</v>
      </c>
      <c r="AW49" t="s">
        <v>1360</v>
      </c>
      <c r="AX49" t="s">
        <v>1360</v>
      </c>
      <c r="AY49" t="s">
        <v>1360</v>
      </c>
      <c r="AZ49" t="s">
        <v>1360</v>
      </c>
      <c r="BA49" t="s">
        <v>1360</v>
      </c>
      <c r="BB49" t="s">
        <v>1360</v>
      </c>
      <c r="BC49" t="s">
        <v>1360</v>
      </c>
      <c r="BD49" t="s">
        <v>1360</v>
      </c>
      <c r="BE49" t="s">
        <v>1360</v>
      </c>
      <c r="BG49" t="s">
        <v>1360</v>
      </c>
      <c r="BH49" t="s">
        <v>1360</v>
      </c>
      <c r="BJ49" t="s">
        <v>1360</v>
      </c>
      <c r="BK49" t="s">
        <v>1360</v>
      </c>
      <c r="BL49" t="s">
        <v>1360</v>
      </c>
      <c r="BM49" t="s">
        <v>1961</v>
      </c>
      <c r="BN49" t="s">
        <v>1360</v>
      </c>
      <c r="BO49" t="s">
        <v>1360</v>
      </c>
      <c r="BP49" t="s">
        <v>1360</v>
      </c>
      <c r="BQ49" t="s">
        <v>1527</v>
      </c>
      <c r="BR49" t="s">
        <v>1962</v>
      </c>
      <c r="BS49" t="s">
        <v>1360</v>
      </c>
      <c r="BT49" t="s">
        <v>1360</v>
      </c>
      <c r="BU49" t="s">
        <v>1360</v>
      </c>
      <c r="BV49" t="s">
        <v>1360</v>
      </c>
      <c r="BW49" t="s">
        <v>1360</v>
      </c>
      <c r="BX49" t="s">
        <v>1360</v>
      </c>
      <c r="BY49" t="s">
        <v>1360</v>
      </c>
      <c r="BZ49" t="s">
        <v>1360</v>
      </c>
      <c r="CA49" t="s">
        <v>1360</v>
      </c>
      <c r="CB49" t="s">
        <v>1360</v>
      </c>
      <c r="CC49" t="s">
        <v>1963</v>
      </c>
      <c r="CD49" t="s">
        <v>1360</v>
      </c>
      <c r="CE49" t="s">
        <v>1360</v>
      </c>
      <c r="CF49" t="s">
        <v>1360</v>
      </c>
      <c r="CG49" t="s">
        <v>1360</v>
      </c>
      <c r="CH49" t="s">
        <v>1517</v>
      </c>
      <c r="CI49" t="s">
        <v>1360</v>
      </c>
      <c r="CJ49" t="s">
        <v>1360</v>
      </c>
      <c r="CK49" t="s">
        <v>1360</v>
      </c>
      <c r="CL49" t="s">
        <v>1360</v>
      </c>
      <c r="CM49" t="s">
        <v>1360</v>
      </c>
      <c r="CN49" t="s">
        <v>1360</v>
      </c>
      <c r="CO49" t="s">
        <v>1360</v>
      </c>
      <c r="CP49" t="s">
        <v>1360</v>
      </c>
      <c r="CR49">
        <v>0</v>
      </c>
      <c r="CS49" t="s">
        <v>1360</v>
      </c>
      <c r="CU49" t="s">
        <v>1360</v>
      </c>
      <c r="CV49" t="s">
        <v>1360</v>
      </c>
      <c r="CW49" t="s">
        <v>1360</v>
      </c>
      <c r="CX49" t="s">
        <v>1360</v>
      </c>
      <c r="CY49" t="s">
        <v>1360</v>
      </c>
      <c r="CZ49" t="s">
        <v>1360</v>
      </c>
      <c r="DA49" t="s">
        <v>1360</v>
      </c>
      <c r="DB49" t="s">
        <v>1360</v>
      </c>
      <c r="DC49" t="s">
        <v>1360</v>
      </c>
      <c r="DD49" t="s">
        <v>1360</v>
      </c>
      <c r="DE49" t="s">
        <v>1360</v>
      </c>
      <c r="DG49" t="s">
        <v>1517</v>
      </c>
      <c r="DH49" t="s">
        <v>1360</v>
      </c>
      <c r="DJ49" t="s">
        <v>1360</v>
      </c>
      <c r="DK49" t="s">
        <v>1517</v>
      </c>
      <c r="DL49" t="s">
        <v>1360</v>
      </c>
      <c r="DM49" t="s">
        <v>1360</v>
      </c>
      <c r="DN49" t="s">
        <v>1360</v>
      </c>
      <c r="DO49" t="s">
        <v>1360</v>
      </c>
      <c r="DP49" t="s">
        <v>1360</v>
      </c>
      <c r="DQ49" t="s">
        <v>1360</v>
      </c>
      <c r="DR49">
        <v>0</v>
      </c>
      <c r="DS49" t="s">
        <v>1360</v>
      </c>
      <c r="DT49" t="s">
        <v>1360</v>
      </c>
      <c r="DU49" t="s">
        <v>1360</v>
      </c>
      <c r="DV49" t="s">
        <v>1360</v>
      </c>
      <c r="DW49" t="s">
        <v>1360</v>
      </c>
      <c r="DX49" t="s">
        <v>1360</v>
      </c>
      <c r="DY49" t="s">
        <v>1360</v>
      </c>
      <c r="DZ49" t="s">
        <v>1360</v>
      </c>
      <c r="EA49" t="s">
        <v>1360</v>
      </c>
      <c r="EB49" t="s">
        <v>1360</v>
      </c>
      <c r="EC49" t="s">
        <v>1360</v>
      </c>
      <c r="ED49" t="s">
        <v>1360</v>
      </c>
      <c r="EE49" t="s">
        <v>1360</v>
      </c>
      <c r="EF49">
        <v>0</v>
      </c>
      <c r="EG49" t="s">
        <v>1360</v>
      </c>
      <c r="EH49" t="s">
        <v>1360</v>
      </c>
    </row>
    <row r="50" spans="1:138" hidden="1">
      <c r="A50" t="s">
        <v>1964</v>
      </c>
      <c r="B50" t="s">
        <v>1508</v>
      </c>
      <c r="C50" t="s">
        <v>1592</v>
      </c>
      <c r="D50" t="s">
        <v>1360</v>
      </c>
      <c r="E50" t="s">
        <v>1360</v>
      </c>
      <c r="F50" t="s">
        <v>1360</v>
      </c>
      <c r="G50" t="s">
        <v>1965</v>
      </c>
      <c r="H50" t="s">
        <v>1966</v>
      </c>
      <c r="I50" t="s">
        <v>1360</v>
      </c>
      <c r="J50" t="s">
        <v>1360</v>
      </c>
      <c r="K50" t="s">
        <v>1967</v>
      </c>
      <c r="L50" t="s">
        <v>14</v>
      </c>
      <c r="M50" t="s">
        <v>1968</v>
      </c>
      <c r="N50" t="s">
        <v>1969</v>
      </c>
      <c r="O50" t="s">
        <v>1970</v>
      </c>
      <c r="P50" t="s">
        <v>1592</v>
      </c>
      <c r="Q50" t="s">
        <v>1360</v>
      </c>
      <c r="R50" t="s">
        <v>1965</v>
      </c>
      <c r="S50" t="s">
        <v>1360</v>
      </c>
      <c r="T50" t="s">
        <v>1360</v>
      </c>
      <c r="U50" t="s">
        <v>1517</v>
      </c>
      <c r="V50" t="s">
        <v>1517</v>
      </c>
      <c r="W50" t="s">
        <v>1360</v>
      </c>
      <c r="X50" t="s">
        <v>1599</v>
      </c>
      <c r="Y50" t="s">
        <v>1517</v>
      </c>
      <c r="Z50" t="s">
        <v>1360</v>
      </c>
      <c r="AA50" t="s">
        <v>1360</v>
      </c>
      <c r="AB50" t="s">
        <v>1360</v>
      </c>
      <c r="AC50">
        <v>43804</v>
      </c>
      <c r="AD50" t="s">
        <v>1539</v>
      </c>
      <c r="AE50" t="s">
        <v>1360</v>
      </c>
      <c r="AF50" t="s">
        <v>1360</v>
      </c>
      <c r="AG50" t="s">
        <v>1601</v>
      </c>
      <c r="AH50" t="s">
        <v>1360</v>
      </c>
      <c r="AI50" t="s">
        <v>1360</v>
      </c>
      <c r="AJ50" t="s">
        <v>1360</v>
      </c>
      <c r="AK50" t="s">
        <v>1360</v>
      </c>
      <c r="AL50" t="s">
        <v>1360</v>
      </c>
      <c r="AM50" t="s">
        <v>1602</v>
      </c>
      <c r="AN50" t="s">
        <v>1971</v>
      </c>
      <c r="AO50" t="e">
        <f>_xlfn.XLOOKUP(AN50,#REF!,#REF!)</f>
        <v>#REF!</v>
      </c>
      <c r="AP50" t="s">
        <v>1360</v>
      </c>
      <c r="AQ50" t="s">
        <v>1360</v>
      </c>
      <c r="AR50" t="s">
        <v>1360</v>
      </c>
      <c r="AS50" t="s">
        <v>1604</v>
      </c>
      <c r="AT50" t="s">
        <v>1360</v>
      </c>
      <c r="AU50" t="s">
        <v>1360</v>
      </c>
      <c r="AV50" t="s">
        <v>1360</v>
      </c>
      <c r="AW50" t="s">
        <v>1360</v>
      </c>
      <c r="AX50" t="s">
        <v>1360</v>
      </c>
      <c r="AY50" t="s">
        <v>1360</v>
      </c>
      <c r="AZ50" t="s">
        <v>1360</v>
      </c>
      <c r="BA50" t="s">
        <v>1360</v>
      </c>
      <c r="BB50" t="s">
        <v>1360</v>
      </c>
      <c r="BC50" t="s">
        <v>1360</v>
      </c>
      <c r="BD50" t="s">
        <v>1360</v>
      </c>
      <c r="BE50" t="s">
        <v>1360</v>
      </c>
      <c r="BG50" t="s">
        <v>1360</v>
      </c>
      <c r="BH50" t="s">
        <v>1360</v>
      </c>
      <c r="BJ50" t="s">
        <v>1360</v>
      </c>
      <c r="BK50" t="s">
        <v>1360</v>
      </c>
      <c r="BL50" t="s">
        <v>1360</v>
      </c>
      <c r="BM50" t="s">
        <v>1972</v>
      </c>
      <c r="BN50" t="s">
        <v>1360</v>
      </c>
      <c r="BO50" t="s">
        <v>1360</v>
      </c>
      <c r="BP50" t="s">
        <v>1360</v>
      </c>
      <c r="BQ50" t="s">
        <v>1527</v>
      </c>
      <c r="BR50" t="s">
        <v>1973</v>
      </c>
      <c r="BS50" t="s">
        <v>1360</v>
      </c>
      <c r="BT50" t="s">
        <v>1360</v>
      </c>
      <c r="BU50" t="s">
        <v>1360</v>
      </c>
      <c r="BV50" t="s">
        <v>1360</v>
      </c>
      <c r="BW50" t="s">
        <v>1360</v>
      </c>
      <c r="BX50" t="s">
        <v>1360</v>
      </c>
      <c r="BY50" t="s">
        <v>1360</v>
      </c>
      <c r="BZ50" t="s">
        <v>1360</v>
      </c>
      <c r="CA50" t="s">
        <v>1360</v>
      </c>
      <c r="CB50" t="s">
        <v>1360</v>
      </c>
      <c r="CC50" t="s">
        <v>1974</v>
      </c>
      <c r="CD50" t="s">
        <v>1360</v>
      </c>
      <c r="CE50" t="s">
        <v>1360</v>
      </c>
      <c r="CF50" t="s">
        <v>1360</v>
      </c>
      <c r="CG50" t="s">
        <v>1360</v>
      </c>
      <c r="CH50" t="s">
        <v>1517</v>
      </c>
      <c r="CI50" t="s">
        <v>1360</v>
      </c>
      <c r="CJ50" t="s">
        <v>1360</v>
      </c>
      <c r="CK50" t="s">
        <v>1360</v>
      </c>
      <c r="CL50" t="s">
        <v>1360</v>
      </c>
      <c r="CM50" t="s">
        <v>1360</v>
      </c>
      <c r="CN50" t="s">
        <v>1360</v>
      </c>
      <c r="CO50" t="s">
        <v>1360</v>
      </c>
      <c r="CP50" t="s">
        <v>1360</v>
      </c>
      <c r="CR50">
        <v>0</v>
      </c>
      <c r="CS50" t="s">
        <v>1360</v>
      </c>
      <c r="CU50" t="s">
        <v>1360</v>
      </c>
      <c r="CV50" t="s">
        <v>1360</v>
      </c>
      <c r="CW50" t="s">
        <v>1360</v>
      </c>
      <c r="CX50" t="s">
        <v>1360</v>
      </c>
      <c r="CY50" t="s">
        <v>1360</v>
      </c>
      <c r="CZ50" t="s">
        <v>1360</v>
      </c>
      <c r="DA50" t="s">
        <v>1360</v>
      </c>
      <c r="DB50" t="s">
        <v>1360</v>
      </c>
      <c r="DC50" t="s">
        <v>1360</v>
      </c>
      <c r="DD50" t="s">
        <v>1360</v>
      </c>
      <c r="DE50" t="s">
        <v>1360</v>
      </c>
      <c r="DG50" t="s">
        <v>1517</v>
      </c>
      <c r="DH50" t="s">
        <v>1360</v>
      </c>
      <c r="DJ50" t="s">
        <v>1360</v>
      </c>
      <c r="DK50" t="s">
        <v>1517</v>
      </c>
      <c r="DL50" t="s">
        <v>1360</v>
      </c>
      <c r="DM50" t="s">
        <v>1360</v>
      </c>
      <c r="DN50" t="s">
        <v>1360</v>
      </c>
      <c r="DO50" t="s">
        <v>1360</v>
      </c>
      <c r="DP50" t="s">
        <v>1360</v>
      </c>
      <c r="DQ50" t="s">
        <v>1360</v>
      </c>
      <c r="DR50">
        <v>0</v>
      </c>
      <c r="DS50" t="s">
        <v>1360</v>
      </c>
      <c r="DT50" t="s">
        <v>1360</v>
      </c>
      <c r="DU50" t="s">
        <v>1360</v>
      </c>
      <c r="DV50" t="s">
        <v>1360</v>
      </c>
      <c r="DW50" t="s">
        <v>1360</v>
      </c>
      <c r="DX50" t="s">
        <v>1360</v>
      </c>
      <c r="DY50" t="s">
        <v>1360</v>
      </c>
      <c r="DZ50" t="s">
        <v>1360</v>
      </c>
      <c r="EA50" t="s">
        <v>1360</v>
      </c>
      <c r="EB50" t="s">
        <v>1360</v>
      </c>
      <c r="EC50" t="s">
        <v>1360</v>
      </c>
      <c r="ED50" t="s">
        <v>1360</v>
      </c>
      <c r="EE50" t="s">
        <v>1360</v>
      </c>
      <c r="EF50">
        <v>0</v>
      </c>
      <c r="EG50" t="s">
        <v>1360</v>
      </c>
      <c r="EH50" t="s">
        <v>1360</v>
      </c>
    </row>
    <row r="51" spans="1:138" hidden="1">
      <c r="A51" t="s">
        <v>1975</v>
      </c>
      <c r="B51" t="s">
        <v>1508</v>
      </c>
      <c r="C51" t="s">
        <v>1592</v>
      </c>
      <c r="D51" t="s">
        <v>1360</v>
      </c>
      <c r="E51" t="s">
        <v>1360</v>
      </c>
      <c r="F51" t="s">
        <v>1360</v>
      </c>
      <c r="G51" t="s">
        <v>1976</v>
      </c>
      <c r="H51" t="s">
        <v>1977</v>
      </c>
      <c r="I51" t="s">
        <v>1360</v>
      </c>
      <c r="J51" t="s">
        <v>1360</v>
      </c>
      <c r="K51" t="s">
        <v>1978</v>
      </c>
      <c r="L51" t="s">
        <v>57</v>
      </c>
      <c r="M51" t="s">
        <v>1979</v>
      </c>
      <c r="N51" t="s">
        <v>1980</v>
      </c>
      <c r="O51" t="s">
        <v>1981</v>
      </c>
      <c r="P51" t="s">
        <v>1592</v>
      </c>
      <c r="Q51" t="s">
        <v>1360</v>
      </c>
      <c r="R51" t="s">
        <v>1976</v>
      </c>
      <c r="S51" t="s">
        <v>1360</v>
      </c>
      <c r="T51" t="s">
        <v>1360</v>
      </c>
      <c r="U51" t="s">
        <v>1517</v>
      </c>
      <c r="V51" t="s">
        <v>1517</v>
      </c>
      <c r="W51" t="s">
        <v>1360</v>
      </c>
      <c r="X51" t="s">
        <v>1599</v>
      </c>
      <c r="Y51" t="s">
        <v>1517</v>
      </c>
      <c r="Z51" t="s">
        <v>1360</v>
      </c>
      <c r="AA51" t="s">
        <v>1360</v>
      </c>
      <c r="AB51" t="s">
        <v>1360</v>
      </c>
      <c r="AC51">
        <v>43804</v>
      </c>
      <c r="AD51" t="s">
        <v>1539</v>
      </c>
      <c r="AE51" t="s">
        <v>1360</v>
      </c>
      <c r="AF51" t="s">
        <v>1360</v>
      </c>
      <c r="AG51" t="s">
        <v>1601</v>
      </c>
      <c r="AH51" t="s">
        <v>1360</v>
      </c>
      <c r="AI51" t="s">
        <v>1360</v>
      </c>
      <c r="AJ51" t="s">
        <v>1360</v>
      </c>
      <c r="AK51" t="s">
        <v>1360</v>
      </c>
      <c r="AL51" t="s">
        <v>1360</v>
      </c>
      <c r="AM51" t="s">
        <v>1602</v>
      </c>
      <c r="AN51" t="s">
        <v>1982</v>
      </c>
      <c r="AO51" t="e">
        <f>_xlfn.XLOOKUP(AN51,#REF!,#REF!)</f>
        <v>#REF!</v>
      </c>
      <c r="AP51" t="s">
        <v>1360</v>
      </c>
      <c r="AQ51" t="s">
        <v>1360</v>
      </c>
      <c r="AR51" t="s">
        <v>1360</v>
      </c>
      <c r="AS51" t="s">
        <v>1360</v>
      </c>
      <c r="AT51" t="s">
        <v>1360</v>
      </c>
      <c r="AU51" t="s">
        <v>1360</v>
      </c>
      <c r="AV51" t="s">
        <v>1360</v>
      </c>
      <c r="AW51" t="s">
        <v>1360</v>
      </c>
      <c r="AX51" t="s">
        <v>1360</v>
      </c>
      <c r="AY51" t="s">
        <v>1360</v>
      </c>
      <c r="AZ51" t="s">
        <v>1360</v>
      </c>
      <c r="BA51" t="s">
        <v>1360</v>
      </c>
      <c r="BB51" t="s">
        <v>1360</v>
      </c>
      <c r="BC51" t="s">
        <v>1360</v>
      </c>
      <c r="BD51" t="s">
        <v>1360</v>
      </c>
      <c r="BE51" t="s">
        <v>1360</v>
      </c>
      <c r="BG51" t="s">
        <v>1360</v>
      </c>
      <c r="BH51" t="s">
        <v>1360</v>
      </c>
      <c r="BJ51" t="s">
        <v>1360</v>
      </c>
      <c r="BK51" t="s">
        <v>1360</v>
      </c>
      <c r="BL51" t="s">
        <v>1360</v>
      </c>
      <c r="BM51" t="s">
        <v>1983</v>
      </c>
      <c r="BN51" t="s">
        <v>1360</v>
      </c>
      <c r="BO51" t="s">
        <v>1360</v>
      </c>
      <c r="BP51" t="s">
        <v>1360</v>
      </c>
      <c r="BQ51" t="s">
        <v>1527</v>
      </c>
      <c r="BR51" t="s">
        <v>1984</v>
      </c>
      <c r="BS51" t="s">
        <v>1360</v>
      </c>
      <c r="BT51" t="s">
        <v>1360</v>
      </c>
      <c r="BU51" t="s">
        <v>1360</v>
      </c>
      <c r="BV51" t="s">
        <v>1360</v>
      </c>
      <c r="BW51" t="s">
        <v>1360</v>
      </c>
      <c r="BX51" t="s">
        <v>1360</v>
      </c>
      <c r="BY51" t="s">
        <v>1360</v>
      </c>
      <c r="BZ51" t="s">
        <v>1360</v>
      </c>
      <c r="CA51" t="s">
        <v>1360</v>
      </c>
      <c r="CB51" t="s">
        <v>1360</v>
      </c>
      <c r="CC51" t="s">
        <v>1985</v>
      </c>
      <c r="CD51" t="s">
        <v>1360</v>
      </c>
      <c r="CE51" t="s">
        <v>1360</v>
      </c>
      <c r="CF51" t="s">
        <v>1360</v>
      </c>
      <c r="CG51" t="s">
        <v>1360</v>
      </c>
      <c r="CH51" t="s">
        <v>1517</v>
      </c>
      <c r="CI51" t="s">
        <v>1360</v>
      </c>
      <c r="CJ51" t="s">
        <v>1360</v>
      </c>
      <c r="CK51" t="s">
        <v>1360</v>
      </c>
      <c r="CL51" t="s">
        <v>1360</v>
      </c>
      <c r="CM51" t="s">
        <v>1360</v>
      </c>
      <c r="CN51" t="s">
        <v>1360</v>
      </c>
      <c r="CO51" t="s">
        <v>1360</v>
      </c>
      <c r="CP51" t="s">
        <v>1360</v>
      </c>
      <c r="CR51">
        <v>0</v>
      </c>
      <c r="CS51" t="s">
        <v>1360</v>
      </c>
      <c r="CU51" t="s">
        <v>1360</v>
      </c>
      <c r="CV51" t="s">
        <v>1360</v>
      </c>
      <c r="CW51" t="s">
        <v>1360</v>
      </c>
      <c r="CX51" t="s">
        <v>1360</v>
      </c>
      <c r="CY51" t="s">
        <v>1360</v>
      </c>
      <c r="CZ51" t="s">
        <v>1360</v>
      </c>
      <c r="DA51" t="s">
        <v>1360</v>
      </c>
      <c r="DB51" t="s">
        <v>1360</v>
      </c>
      <c r="DC51" t="s">
        <v>1360</v>
      </c>
      <c r="DD51" t="s">
        <v>1360</v>
      </c>
      <c r="DE51" t="s">
        <v>1360</v>
      </c>
      <c r="DG51" t="s">
        <v>1517</v>
      </c>
      <c r="DH51" t="s">
        <v>1360</v>
      </c>
      <c r="DJ51" t="s">
        <v>1360</v>
      </c>
      <c r="DK51" t="s">
        <v>1517</v>
      </c>
      <c r="DL51" t="s">
        <v>1360</v>
      </c>
      <c r="DM51" t="s">
        <v>1360</v>
      </c>
      <c r="DN51" t="s">
        <v>1360</v>
      </c>
      <c r="DO51" t="s">
        <v>1360</v>
      </c>
      <c r="DP51" t="s">
        <v>1360</v>
      </c>
      <c r="DQ51" t="s">
        <v>1360</v>
      </c>
      <c r="DR51">
        <v>0</v>
      </c>
      <c r="DS51" t="s">
        <v>1360</v>
      </c>
      <c r="DT51" t="s">
        <v>1360</v>
      </c>
      <c r="DU51" t="s">
        <v>1360</v>
      </c>
      <c r="DV51" t="s">
        <v>1360</v>
      </c>
      <c r="DW51" t="s">
        <v>1360</v>
      </c>
      <c r="DX51" t="s">
        <v>1360</v>
      </c>
      <c r="DY51" t="s">
        <v>1360</v>
      </c>
      <c r="DZ51" t="s">
        <v>1360</v>
      </c>
      <c r="EA51" t="s">
        <v>1360</v>
      </c>
      <c r="EB51" t="s">
        <v>1360</v>
      </c>
      <c r="EC51" t="s">
        <v>1360</v>
      </c>
      <c r="ED51" t="s">
        <v>1360</v>
      </c>
      <c r="EE51" t="s">
        <v>1360</v>
      </c>
      <c r="EF51">
        <v>0</v>
      </c>
      <c r="EG51" t="s">
        <v>1360</v>
      </c>
      <c r="EH51" t="s">
        <v>1360</v>
      </c>
    </row>
    <row r="52" spans="1:138" hidden="1">
      <c r="A52" t="s">
        <v>1986</v>
      </c>
      <c r="B52" t="s">
        <v>1508</v>
      </c>
      <c r="C52" t="s">
        <v>1592</v>
      </c>
      <c r="D52" t="s">
        <v>1987</v>
      </c>
      <c r="E52" t="s">
        <v>1360</v>
      </c>
      <c r="F52" t="s">
        <v>1360</v>
      </c>
      <c r="G52" t="s">
        <v>1988</v>
      </c>
      <c r="H52" t="s">
        <v>1989</v>
      </c>
      <c r="I52" t="s">
        <v>1360</v>
      </c>
      <c r="J52" t="s">
        <v>1360</v>
      </c>
      <c r="K52" t="s">
        <v>1990</v>
      </c>
      <c r="L52" t="s">
        <v>32</v>
      </c>
      <c r="M52" t="s">
        <v>1987</v>
      </c>
      <c r="N52" t="s">
        <v>1991</v>
      </c>
      <c r="O52" t="s">
        <v>1992</v>
      </c>
      <c r="P52" t="s">
        <v>1592</v>
      </c>
      <c r="Q52" t="s">
        <v>1987</v>
      </c>
      <c r="R52" t="s">
        <v>1988</v>
      </c>
      <c r="S52" t="s">
        <v>1360</v>
      </c>
      <c r="T52" t="s">
        <v>1360</v>
      </c>
      <c r="U52" t="s">
        <v>1517</v>
      </c>
      <c r="V52" t="s">
        <v>1517</v>
      </c>
      <c r="W52" t="s">
        <v>1360</v>
      </c>
      <c r="X52" t="s">
        <v>1599</v>
      </c>
      <c r="Y52" t="s">
        <v>1517</v>
      </c>
      <c r="Z52" t="s">
        <v>1360</v>
      </c>
      <c r="AA52" t="s">
        <v>1360</v>
      </c>
      <c r="AB52" t="s">
        <v>1360</v>
      </c>
      <c r="AC52">
        <v>44946</v>
      </c>
      <c r="AD52" t="s">
        <v>1539</v>
      </c>
      <c r="AE52" t="s">
        <v>1360</v>
      </c>
      <c r="AF52" t="s">
        <v>1360</v>
      </c>
      <c r="AG52" t="s">
        <v>1601</v>
      </c>
      <c r="AH52" t="s">
        <v>1360</v>
      </c>
      <c r="AI52" t="s">
        <v>1360</v>
      </c>
      <c r="AJ52" t="s">
        <v>1360</v>
      </c>
      <c r="AK52" t="s">
        <v>1360</v>
      </c>
      <c r="AL52" t="s">
        <v>1360</v>
      </c>
      <c r="AM52" t="s">
        <v>1602</v>
      </c>
      <c r="AN52" t="s">
        <v>1993</v>
      </c>
      <c r="AO52" t="e">
        <f>_xlfn.XLOOKUP(AN52,#REF!,#REF!)</f>
        <v>#REF!</v>
      </c>
      <c r="AP52" t="s">
        <v>1360</v>
      </c>
      <c r="AQ52" t="s">
        <v>1360</v>
      </c>
      <c r="AR52" t="s">
        <v>1360</v>
      </c>
      <c r="AS52" t="s">
        <v>1994</v>
      </c>
      <c r="AT52" t="s">
        <v>1360</v>
      </c>
      <c r="AU52" t="s">
        <v>1360</v>
      </c>
      <c r="AV52" t="s">
        <v>1360</v>
      </c>
      <c r="AW52" t="s">
        <v>1360</v>
      </c>
      <c r="AX52" t="s">
        <v>1360</v>
      </c>
      <c r="AY52" t="s">
        <v>1360</v>
      </c>
      <c r="AZ52" t="s">
        <v>1360</v>
      </c>
      <c r="BA52" t="s">
        <v>1360</v>
      </c>
      <c r="BB52" t="s">
        <v>1360</v>
      </c>
      <c r="BC52" t="s">
        <v>1360</v>
      </c>
      <c r="BD52" t="s">
        <v>1360</v>
      </c>
      <c r="BE52" t="s">
        <v>1360</v>
      </c>
      <c r="BG52" t="s">
        <v>1360</v>
      </c>
      <c r="BH52" t="s">
        <v>1360</v>
      </c>
      <c r="BJ52" t="s">
        <v>1360</v>
      </c>
      <c r="BK52" t="s">
        <v>1360</v>
      </c>
      <c r="BL52" t="s">
        <v>1360</v>
      </c>
      <c r="BM52" t="s">
        <v>1995</v>
      </c>
      <c r="BN52" t="s">
        <v>1360</v>
      </c>
      <c r="BO52" t="s">
        <v>1360</v>
      </c>
      <c r="BP52" t="s">
        <v>1360</v>
      </c>
      <c r="BQ52" t="s">
        <v>1527</v>
      </c>
      <c r="BR52" t="s">
        <v>1996</v>
      </c>
      <c r="BS52" t="s">
        <v>1360</v>
      </c>
      <c r="BT52" t="s">
        <v>1360</v>
      </c>
      <c r="BU52" t="s">
        <v>1360</v>
      </c>
      <c r="BV52" t="s">
        <v>1360</v>
      </c>
      <c r="BW52" t="s">
        <v>1360</v>
      </c>
      <c r="BX52" t="s">
        <v>1360</v>
      </c>
      <c r="BY52" t="s">
        <v>1360</v>
      </c>
      <c r="BZ52" t="s">
        <v>1360</v>
      </c>
      <c r="CA52" t="s">
        <v>1360</v>
      </c>
      <c r="CB52" t="s">
        <v>1360</v>
      </c>
      <c r="CC52" t="s">
        <v>1997</v>
      </c>
      <c r="CD52" t="s">
        <v>1360</v>
      </c>
      <c r="CE52" t="s">
        <v>1360</v>
      </c>
      <c r="CF52" t="s">
        <v>1360</v>
      </c>
      <c r="CG52" t="s">
        <v>1360</v>
      </c>
      <c r="CH52" t="s">
        <v>1517</v>
      </c>
      <c r="CI52" t="s">
        <v>1360</v>
      </c>
      <c r="CJ52" t="s">
        <v>1360</v>
      </c>
      <c r="CK52" t="s">
        <v>1360</v>
      </c>
      <c r="CL52" t="s">
        <v>1360</v>
      </c>
      <c r="CM52" t="s">
        <v>1360</v>
      </c>
      <c r="CN52" t="s">
        <v>1360</v>
      </c>
      <c r="CO52" t="s">
        <v>1360</v>
      </c>
      <c r="CP52" t="s">
        <v>1360</v>
      </c>
      <c r="CR52">
        <v>0</v>
      </c>
      <c r="CS52" t="s">
        <v>1360</v>
      </c>
      <c r="CU52" t="s">
        <v>1360</v>
      </c>
      <c r="CV52" t="s">
        <v>1360</v>
      </c>
      <c r="CW52" t="s">
        <v>1360</v>
      </c>
      <c r="CX52" t="s">
        <v>1360</v>
      </c>
      <c r="CY52" t="s">
        <v>1360</v>
      </c>
      <c r="CZ52" t="s">
        <v>1360</v>
      </c>
      <c r="DA52" t="s">
        <v>1360</v>
      </c>
      <c r="DB52" t="s">
        <v>1360</v>
      </c>
      <c r="DC52" t="s">
        <v>1360</v>
      </c>
      <c r="DD52" t="s">
        <v>1360</v>
      </c>
      <c r="DE52" t="s">
        <v>1360</v>
      </c>
      <c r="DG52" t="s">
        <v>1517</v>
      </c>
      <c r="DH52" t="s">
        <v>1360</v>
      </c>
      <c r="DJ52" t="s">
        <v>1360</v>
      </c>
      <c r="DK52" t="s">
        <v>1517</v>
      </c>
      <c r="DL52" t="s">
        <v>1360</v>
      </c>
      <c r="DM52" t="s">
        <v>1360</v>
      </c>
      <c r="DN52" t="s">
        <v>1360</v>
      </c>
      <c r="DO52" t="s">
        <v>1360</v>
      </c>
      <c r="DP52" t="s">
        <v>1360</v>
      </c>
      <c r="DQ52" t="s">
        <v>1360</v>
      </c>
      <c r="DR52">
        <v>0</v>
      </c>
      <c r="DS52" t="s">
        <v>1360</v>
      </c>
      <c r="DT52" t="s">
        <v>1360</v>
      </c>
      <c r="DU52" t="s">
        <v>1360</v>
      </c>
      <c r="DV52" t="s">
        <v>1360</v>
      </c>
      <c r="DW52" t="s">
        <v>1360</v>
      </c>
      <c r="DX52" t="s">
        <v>1360</v>
      </c>
      <c r="DY52" t="s">
        <v>1360</v>
      </c>
      <c r="DZ52" t="s">
        <v>1360</v>
      </c>
      <c r="EA52" t="s">
        <v>1360</v>
      </c>
      <c r="EB52" t="s">
        <v>1360</v>
      </c>
      <c r="EC52" t="s">
        <v>1360</v>
      </c>
      <c r="ED52" t="s">
        <v>1360</v>
      </c>
      <c r="EE52" t="s">
        <v>1360</v>
      </c>
      <c r="EF52">
        <v>0</v>
      </c>
      <c r="EG52" t="s">
        <v>1360</v>
      </c>
      <c r="EH52" t="s">
        <v>1360</v>
      </c>
    </row>
    <row r="53" spans="1:138" hidden="1">
      <c r="A53" t="s">
        <v>1998</v>
      </c>
      <c r="B53" t="s">
        <v>1508</v>
      </c>
      <c r="C53" t="s">
        <v>1592</v>
      </c>
      <c r="D53" t="s">
        <v>1360</v>
      </c>
      <c r="E53" t="s">
        <v>1360</v>
      </c>
      <c r="F53" t="s">
        <v>1360</v>
      </c>
      <c r="G53" t="s">
        <v>1999</v>
      </c>
      <c r="H53" t="s">
        <v>1360</v>
      </c>
      <c r="I53" t="s">
        <v>1360</v>
      </c>
      <c r="J53" t="s">
        <v>1360</v>
      </c>
      <c r="K53" t="s">
        <v>2000</v>
      </c>
      <c r="L53" t="s">
        <v>69</v>
      </c>
      <c r="M53" t="s">
        <v>2001</v>
      </c>
      <c r="N53" t="s">
        <v>2002</v>
      </c>
      <c r="O53" t="s">
        <v>2003</v>
      </c>
      <c r="P53" t="s">
        <v>1592</v>
      </c>
      <c r="Q53" t="s">
        <v>1360</v>
      </c>
      <c r="R53" t="s">
        <v>1999</v>
      </c>
      <c r="S53" t="s">
        <v>1360</v>
      </c>
      <c r="T53" t="s">
        <v>1360</v>
      </c>
      <c r="U53" t="s">
        <v>1517</v>
      </c>
      <c r="V53" t="s">
        <v>1517</v>
      </c>
      <c r="W53" t="s">
        <v>1360</v>
      </c>
      <c r="X53" t="s">
        <v>1599</v>
      </c>
      <c r="Y53" t="s">
        <v>1517</v>
      </c>
      <c r="Z53" t="s">
        <v>1360</v>
      </c>
      <c r="AA53" t="s">
        <v>1360</v>
      </c>
      <c r="AB53" t="s">
        <v>1360</v>
      </c>
      <c r="AC53">
        <v>45622</v>
      </c>
      <c r="AD53" t="s">
        <v>1539</v>
      </c>
      <c r="AE53" t="s">
        <v>1360</v>
      </c>
      <c r="AF53" t="s">
        <v>1360</v>
      </c>
      <c r="AG53" t="s">
        <v>1601</v>
      </c>
      <c r="AH53" t="s">
        <v>1998</v>
      </c>
      <c r="AI53" t="s">
        <v>1360</v>
      </c>
      <c r="AJ53" t="s">
        <v>1360</v>
      </c>
      <c r="AK53" t="s">
        <v>1360</v>
      </c>
      <c r="AL53" t="s">
        <v>1360</v>
      </c>
      <c r="AM53" t="s">
        <v>1602</v>
      </c>
      <c r="AN53" t="s">
        <v>2004</v>
      </c>
      <c r="AO53" t="e">
        <f>_xlfn.XLOOKUP(AN53,#REF!,#REF!)</f>
        <v>#REF!</v>
      </c>
      <c r="AP53" t="s">
        <v>1360</v>
      </c>
      <c r="AQ53" t="s">
        <v>1360</v>
      </c>
      <c r="AR53" t="s">
        <v>1360</v>
      </c>
      <c r="AS53" t="s">
        <v>1360</v>
      </c>
      <c r="AT53" t="s">
        <v>1360</v>
      </c>
      <c r="AU53" t="s">
        <v>1360</v>
      </c>
      <c r="AV53" t="s">
        <v>1360</v>
      </c>
      <c r="AW53" t="s">
        <v>1360</v>
      </c>
      <c r="AX53" t="s">
        <v>1360</v>
      </c>
      <c r="AY53" t="s">
        <v>1360</v>
      </c>
      <c r="AZ53" t="s">
        <v>6</v>
      </c>
      <c r="BA53" t="s">
        <v>1360</v>
      </c>
      <c r="BB53" t="s">
        <v>1360</v>
      </c>
      <c r="BC53" t="s">
        <v>1360</v>
      </c>
      <c r="BD53" t="s">
        <v>1360</v>
      </c>
      <c r="BE53" t="s">
        <v>1360</v>
      </c>
      <c r="BG53" t="s">
        <v>1360</v>
      </c>
      <c r="BH53" t="s">
        <v>1360</v>
      </c>
      <c r="BJ53" t="s">
        <v>1360</v>
      </c>
      <c r="BK53" t="s">
        <v>1360</v>
      </c>
      <c r="BL53" t="s">
        <v>1360</v>
      </c>
      <c r="BM53" t="s">
        <v>2005</v>
      </c>
      <c r="BN53" t="s">
        <v>1360</v>
      </c>
      <c r="BO53" t="s">
        <v>1360</v>
      </c>
      <c r="BP53" t="s">
        <v>1360</v>
      </c>
      <c r="BQ53" t="s">
        <v>1527</v>
      </c>
      <c r="BR53" t="s">
        <v>2006</v>
      </c>
      <c r="BS53" t="s">
        <v>1360</v>
      </c>
      <c r="BT53" t="s">
        <v>1360</v>
      </c>
      <c r="BU53" t="s">
        <v>1360</v>
      </c>
      <c r="BV53" t="s">
        <v>1360</v>
      </c>
      <c r="BW53" t="s">
        <v>1360</v>
      </c>
      <c r="BX53" t="s">
        <v>1360</v>
      </c>
      <c r="BY53" t="s">
        <v>1360</v>
      </c>
      <c r="BZ53" t="s">
        <v>1360</v>
      </c>
      <c r="CA53" t="s">
        <v>1360</v>
      </c>
      <c r="CB53" t="s">
        <v>1360</v>
      </c>
      <c r="CC53" t="s">
        <v>2007</v>
      </c>
      <c r="CD53" t="s">
        <v>1360</v>
      </c>
      <c r="CE53" t="s">
        <v>1360</v>
      </c>
      <c r="CF53" t="s">
        <v>1360</v>
      </c>
      <c r="CG53" t="s">
        <v>1360</v>
      </c>
      <c r="CH53" t="s">
        <v>1517</v>
      </c>
      <c r="CI53" t="s">
        <v>1360</v>
      </c>
      <c r="CJ53" t="s">
        <v>1360</v>
      </c>
      <c r="CK53" t="s">
        <v>1360</v>
      </c>
      <c r="CL53" t="s">
        <v>1360</v>
      </c>
      <c r="CM53" t="s">
        <v>1360</v>
      </c>
      <c r="CN53" t="s">
        <v>1360</v>
      </c>
      <c r="CO53" t="s">
        <v>1360</v>
      </c>
      <c r="CP53" t="s">
        <v>1360</v>
      </c>
      <c r="CR53">
        <v>0</v>
      </c>
      <c r="CS53" t="s">
        <v>1360</v>
      </c>
      <c r="CU53" t="s">
        <v>1360</v>
      </c>
      <c r="CV53" t="s">
        <v>1360</v>
      </c>
      <c r="CW53" t="s">
        <v>1360</v>
      </c>
      <c r="CX53" t="s">
        <v>1360</v>
      </c>
      <c r="CY53" t="s">
        <v>1360</v>
      </c>
      <c r="CZ53" t="s">
        <v>1360</v>
      </c>
      <c r="DA53" t="s">
        <v>1360</v>
      </c>
      <c r="DB53" t="s">
        <v>1360</v>
      </c>
      <c r="DC53" t="s">
        <v>1360</v>
      </c>
      <c r="DD53" t="s">
        <v>1360</v>
      </c>
      <c r="DE53" t="s">
        <v>1360</v>
      </c>
      <c r="DG53" t="s">
        <v>1517</v>
      </c>
      <c r="DH53" t="s">
        <v>1360</v>
      </c>
      <c r="DJ53" t="s">
        <v>1360</v>
      </c>
      <c r="DK53" t="s">
        <v>1517</v>
      </c>
      <c r="DL53" t="s">
        <v>1360</v>
      </c>
      <c r="DM53" t="s">
        <v>1360</v>
      </c>
      <c r="DN53" t="s">
        <v>1360</v>
      </c>
      <c r="DO53" t="s">
        <v>1360</v>
      </c>
      <c r="DP53" t="s">
        <v>1360</v>
      </c>
      <c r="DQ53" t="s">
        <v>1360</v>
      </c>
      <c r="DR53">
        <v>0</v>
      </c>
      <c r="DS53" t="s">
        <v>1360</v>
      </c>
      <c r="DT53" t="s">
        <v>1360</v>
      </c>
      <c r="DU53" t="s">
        <v>1360</v>
      </c>
      <c r="DV53" t="s">
        <v>1360</v>
      </c>
      <c r="DW53" t="s">
        <v>1360</v>
      </c>
      <c r="DX53" t="s">
        <v>1360</v>
      </c>
      <c r="DY53" t="s">
        <v>1360</v>
      </c>
      <c r="DZ53" t="s">
        <v>1360</v>
      </c>
      <c r="EA53" t="s">
        <v>1360</v>
      </c>
      <c r="EB53" t="s">
        <v>1360</v>
      </c>
      <c r="EC53" t="s">
        <v>1360</v>
      </c>
      <c r="ED53" t="s">
        <v>1360</v>
      </c>
      <c r="EE53" t="s">
        <v>1360</v>
      </c>
      <c r="EF53">
        <v>0</v>
      </c>
      <c r="EG53" t="s">
        <v>1360</v>
      </c>
      <c r="EH53" t="s">
        <v>1360</v>
      </c>
    </row>
  </sheetData>
  <autoFilter ref="A1:EH53" xr:uid="{1EA4B970-6A24-41C2-A161-346ABA12BF7D}">
    <filterColumn colId="40">
      <filters>
        <filter val="02421684000120"/>
        <filter val="02421684000392"/>
        <filter val="76487032000559"/>
        <filter val="76487032003493"/>
        <filter val="76487032003574"/>
        <filter val="76487032004627"/>
        <filter val="76487032004708"/>
        <filter val="76487032004970"/>
        <filter val="76487032005437"/>
        <filter val="76487032005518"/>
        <filter val="76487032005607"/>
        <filter val="76487032005780"/>
        <filter val="76487032005941"/>
        <filter val="76487032006832"/>
      </filters>
    </filterColumn>
  </autoFilter>
  <conditionalFormatting sqref="N1:N1048576">
    <cfRule type="duplicateValues" dxfId="0" priority="1"/>
  </conditionalFormatting>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DB8A-74EF-4423-9527-DE0F6ED8CED0}">
  <sheetPr codeName="Planilha5">
    <tabColor rgb="FF00B050"/>
  </sheetPr>
  <dimension ref="B1:AN322"/>
  <sheetViews>
    <sheetView showGridLines="0" topLeftCell="B1" zoomScale="65" zoomScaleNormal="65" workbookViewId="0">
      <pane ySplit="4" topLeftCell="A5" activePane="bottomLeft" state="frozen"/>
      <selection activeCell="B339" sqref="B339:I340"/>
      <selection pane="bottomLeft" activeCell="B339" sqref="B339:I340"/>
    </sheetView>
  </sheetViews>
  <sheetFormatPr defaultColWidth="9.140625" defaultRowHeight="18" customHeight="1"/>
  <cols>
    <col min="3" max="4" width="13.42578125" style="4" customWidth="1"/>
    <col min="5" max="5" width="87.7109375" style="105" customWidth="1"/>
    <col min="6" max="6" width="159.7109375" style="92" bestFit="1" customWidth="1"/>
    <col min="7" max="7" width="12.28515625" hidden="1" customWidth="1"/>
    <col min="8" max="8" width="11.5703125" hidden="1" customWidth="1"/>
    <col min="9" max="9" width="14" style="20" hidden="1" customWidth="1"/>
    <col min="10" max="12" width="14" hidden="1" customWidth="1"/>
    <col min="13" max="13" width="14" style="20" hidden="1" customWidth="1"/>
    <col min="14" max="20" width="14" hidden="1" customWidth="1"/>
    <col min="21" max="21" width="14" style="20" hidden="1" customWidth="1"/>
    <col min="22" max="22" width="14" hidden="1" customWidth="1"/>
    <col min="23" max="23" width="14" style="20" hidden="1" customWidth="1"/>
    <col min="24" max="24" width="14" hidden="1" customWidth="1"/>
    <col min="25" max="25" width="14" style="20" hidden="1" customWidth="1"/>
    <col min="26" max="26" width="14" hidden="1" customWidth="1"/>
    <col min="27" max="27" width="14" style="20" hidden="1" customWidth="1"/>
    <col min="28" max="28" width="14" hidden="1" customWidth="1"/>
    <col min="29" max="29" width="14" style="98" hidden="1" customWidth="1"/>
    <col min="30" max="30" width="3.140625" style="98" hidden="1" customWidth="1"/>
    <col min="31" max="31" width="5.42578125" style="98" hidden="1" customWidth="1"/>
    <col min="32" max="32" width="3.140625" hidden="1" customWidth="1"/>
    <col min="33" max="33" width="20" style="60" customWidth="1"/>
    <col min="34" max="34" width="14.7109375" style="102" customWidth="1"/>
    <col min="35" max="35" width="13.7109375" style="60" customWidth="1"/>
    <col min="36" max="36" width="13.7109375" style="102" customWidth="1"/>
    <col min="37" max="37" width="14.5703125" style="60" customWidth="1"/>
    <col min="38" max="38" width="14.42578125" style="60" customWidth="1"/>
    <col min="39" max="39" width="23.85546875" style="60" bestFit="1" customWidth="1"/>
  </cols>
  <sheetData>
    <row r="1" spans="2:40" ht="33.75" hidden="1" customHeight="1">
      <c r="B1" s="53" t="s">
        <v>788</v>
      </c>
      <c r="C1" s="53" t="s">
        <v>788</v>
      </c>
      <c r="D1" s="54" t="s">
        <v>123</v>
      </c>
      <c r="E1" s="55" t="s">
        <v>789</v>
      </c>
      <c r="F1" s="56" t="s">
        <v>790</v>
      </c>
      <c r="G1" s="180"/>
      <c r="H1" s="180"/>
      <c r="I1" s="180"/>
      <c r="J1" s="180"/>
      <c r="K1" s="180"/>
      <c r="L1" s="180"/>
      <c r="M1" s="181"/>
      <c r="N1" s="57"/>
      <c r="O1" s="57"/>
      <c r="P1" s="57"/>
      <c r="Q1" s="57"/>
      <c r="R1" s="57"/>
      <c r="S1" s="57"/>
      <c r="T1" s="57"/>
      <c r="U1" s="57"/>
      <c r="V1" s="57"/>
      <c r="W1" s="58"/>
      <c r="X1" s="57"/>
      <c r="Y1" s="58"/>
      <c r="Z1" s="57"/>
      <c r="AA1" s="58"/>
      <c r="AB1" s="57"/>
      <c r="AC1" s="59"/>
      <c r="AD1" s="59"/>
      <c r="AE1" s="59"/>
      <c r="AF1" s="57"/>
      <c r="AG1" s="182" t="s">
        <v>791</v>
      </c>
      <c r="AH1" s="183"/>
      <c r="AI1" s="184"/>
      <c r="AJ1" s="183"/>
      <c r="AK1" s="185"/>
      <c r="AL1" s="186"/>
    </row>
    <row r="2" spans="2:40" ht="15" hidden="1" customHeight="1">
      <c r="B2" s="54"/>
      <c r="C2" s="54"/>
      <c r="D2" s="54"/>
      <c r="E2" s="61"/>
      <c r="F2" s="56"/>
      <c r="G2" s="187" t="s">
        <v>792</v>
      </c>
      <c r="H2" s="188"/>
      <c r="I2" s="187" t="s">
        <v>793</v>
      </c>
      <c r="J2" s="188"/>
      <c r="K2" s="187" t="s">
        <v>794</v>
      </c>
      <c r="L2" s="188"/>
      <c r="M2" s="170" t="s">
        <v>795</v>
      </c>
      <c r="N2" s="171"/>
      <c r="O2" s="170" t="s">
        <v>796</v>
      </c>
      <c r="P2" s="171"/>
      <c r="Q2" s="170" t="s">
        <v>797</v>
      </c>
      <c r="R2" s="171"/>
      <c r="S2" s="170" t="s">
        <v>798</v>
      </c>
      <c r="T2" s="171"/>
      <c r="U2" s="170" t="s">
        <v>799</v>
      </c>
      <c r="V2" s="171"/>
      <c r="W2" s="170" t="s">
        <v>800</v>
      </c>
      <c r="X2" s="171"/>
      <c r="Y2" s="170" t="s">
        <v>801</v>
      </c>
      <c r="Z2" s="171"/>
      <c r="AA2" s="170" t="s">
        <v>802</v>
      </c>
      <c r="AB2" s="171"/>
      <c r="AC2" s="174" t="s">
        <v>803</v>
      </c>
      <c r="AD2" s="175"/>
      <c r="AE2" s="170" t="s">
        <v>804</v>
      </c>
      <c r="AF2" s="171"/>
      <c r="AG2" s="178" t="s">
        <v>805</v>
      </c>
      <c r="AH2" s="166" t="s">
        <v>806</v>
      </c>
      <c r="AI2" s="190" t="s">
        <v>807</v>
      </c>
      <c r="AJ2" s="166" t="s">
        <v>806</v>
      </c>
      <c r="AK2" s="168" t="s">
        <v>808</v>
      </c>
      <c r="AL2" s="169"/>
    </row>
    <row r="3" spans="2:40" ht="147" customHeight="1" thickBot="1">
      <c r="B3" s="54"/>
      <c r="C3" s="54"/>
      <c r="D3" s="54"/>
      <c r="E3" s="61"/>
      <c r="F3" s="62"/>
      <c r="G3" s="172"/>
      <c r="H3" s="173"/>
      <c r="I3" s="172"/>
      <c r="J3" s="173"/>
      <c r="K3" s="172"/>
      <c r="L3" s="173"/>
      <c r="M3" s="189"/>
      <c r="N3" s="173"/>
      <c r="O3" s="172"/>
      <c r="P3" s="173"/>
      <c r="Q3" s="172"/>
      <c r="R3" s="173"/>
      <c r="S3" s="172"/>
      <c r="T3" s="173"/>
      <c r="U3" s="189"/>
      <c r="V3" s="173"/>
      <c r="W3" s="172"/>
      <c r="X3" s="173"/>
      <c r="Y3" s="172"/>
      <c r="Z3" s="173"/>
      <c r="AA3" s="172"/>
      <c r="AB3" s="173"/>
      <c r="AC3" s="176"/>
      <c r="AD3" s="177"/>
      <c r="AE3" s="172"/>
      <c r="AF3" s="173"/>
      <c r="AG3" s="179"/>
      <c r="AH3" s="167"/>
      <c r="AI3" s="191"/>
      <c r="AJ3" s="167"/>
      <c r="AK3" s="63" t="s">
        <v>809</v>
      </c>
      <c r="AL3" s="106" t="s">
        <v>810</v>
      </c>
    </row>
    <row r="4" spans="2:40" ht="39" customHeight="1" thickBot="1">
      <c r="B4" s="64" t="s">
        <v>811</v>
      </c>
      <c r="C4" s="64" t="s">
        <v>812</v>
      </c>
      <c r="D4" s="64" t="s">
        <v>813</v>
      </c>
      <c r="E4" s="65" t="s">
        <v>789</v>
      </c>
      <c r="F4" s="66" t="s">
        <v>814</v>
      </c>
      <c r="G4" s="67" t="s">
        <v>815</v>
      </c>
      <c r="H4" s="68" t="s">
        <v>816</v>
      </c>
      <c r="I4" s="69" t="s">
        <v>815</v>
      </c>
      <c r="J4" s="68" t="s">
        <v>816</v>
      </c>
      <c r="K4" s="67" t="s">
        <v>815</v>
      </c>
      <c r="L4" s="67" t="s">
        <v>816</v>
      </c>
      <c r="M4" s="69" t="s">
        <v>815</v>
      </c>
      <c r="N4" s="67" t="s">
        <v>816</v>
      </c>
      <c r="O4" s="67" t="s">
        <v>815</v>
      </c>
      <c r="P4" s="67" t="s">
        <v>816</v>
      </c>
      <c r="Q4" s="67" t="s">
        <v>815</v>
      </c>
      <c r="R4" s="67" t="s">
        <v>816</v>
      </c>
      <c r="S4" s="67" t="s">
        <v>815</v>
      </c>
      <c r="T4" s="67" t="s">
        <v>816</v>
      </c>
      <c r="U4" s="69" t="s">
        <v>815</v>
      </c>
      <c r="V4" s="67" t="s">
        <v>816</v>
      </c>
      <c r="W4" s="69" t="s">
        <v>815</v>
      </c>
      <c r="X4" s="67" t="s">
        <v>816</v>
      </c>
      <c r="Y4" s="69" t="s">
        <v>815</v>
      </c>
      <c r="Z4" s="67" t="s">
        <v>816</v>
      </c>
      <c r="AA4" s="69" t="s">
        <v>815</v>
      </c>
      <c r="AB4" s="67" t="s">
        <v>816</v>
      </c>
      <c r="AC4" s="67" t="s">
        <v>815</v>
      </c>
      <c r="AD4" s="68" t="s">
        <v>816</v>
      </c>
      <c r="AE4" s="68" t="s">
        <v>815</v>
      </c>
      <c r="AF4" s="68" t="s">
        <v>816</v>
      </c>
      <c r="AG4" s="107" t="s">
        <v>817</v>
      </c>
      <c r="AH4" s="70" t="s">
        <v>818</v>
      </c>
      <c r="AI4" s="107" t="s">
        <v>819</v>
      </c>
      <c r="AJ4" s="70" t="s">
        <v>820</v>
      </c>
      <c r="AK4" s="110" t="s">
        <v>821</v>
      </c>
      <c r="AL4" s="107" t="s">
        <v>815</v>
      </c>
      <c r="AM4" s="60" t="s">
        <v>1337</v>
      </c>
      <c r="AN4" s="60" t="s">
        <v>1338</v>
      </c>
    </row>
    <row r="5" spans="2:40" ht="18" customHeight="1">
      <c r="B5" s="71">
        <v>1</v>
      </c>
      <c r="C5" s="71" t="s">
        <v>145</v>
      </c>
      <c r="D5" s="71" t="s">
        <v>822</v>
      </c>
      <c r="E5" s="72" t="s">
        <v>147</v>
      </c>
      <c r="F5" s="73" t="s">
        <v>823</v>
      </c>
      <c r="G5" s="74">
        <v>0.05</v>
      </c>
      <c r="H5" s="74" t="s">
        <v>824</v>
      </c>
      <c r="I5" s="74">
        <v>0.02</v>
      </c>
      <c r="J5" s="75" t="s">
        <v>824</v>
      </c>
      <c r="K5" s="75"/>
      <c r="L5" s="75"/>
      <c r="M5" s="75"/>
      <c r="N5" s="75"/>
      <c r="O5" s="75"/>
      <c r="P5" s="75"/>
      <c r="Q5" s="75"/>
      <c r="R5" s="75"/>
      <c r="S5" s="75"/>
      <c r="T5" s="75"/>
      <c r="U5" s="75"/>
      <c r="V5" s="75"/>
      <c r="W5" s="74">
        <v>0.05</v>
      </c>
      <c r="X5" s="75" t="s">
        <v>824</v>
      </c>
      <c r="Y5" s="74">
        <v>0.05</v>
      </c>
      <c r="Z5" s="75"/>
      <c r="AA5" s="74">
        <v>2.9000000000000001E-2</v>
      </c>
      <c r="AB5" s="75" t="s">
        <v>824</v>
      </c>
      <c r="AC5" s="76">
        <v>0.02</v>
      </c>
      <c r="AD5" s="76" t="s">
        <v>824</v>
      </c>
      <c r="AE5" s="76">
        <v>0.02</v>
      </c>
      <c r="AF5" s="75" t="s">
        <v>824</v>
      </c>
      <c r="AG5" s="79">
        <v>1.4999999999999999E-2</v>
      </c>
      <c r="AH5" s="78">
        <v>1708</v>
      </c>
      <c r="AI5" s="79">
        <v>4.65E-2</v>
      </c>
      <c r="AJ5" s="78">
        <v>5952</v>
      </c>
      <c r="AK5" s="79">
        <v>0</v>
      </c>
      <c r="AL5" s="79">
        <v>0</v>
      </c>
      <c r="AM5" s="80" t="str">
        <f>C5&amp;AG5&amp;AI5&amp;AK5</f>
        <v>01.010,0150,04650</v>
      </c>
      <c r="AN5" t="str">
        <f>C5&amp;AG5&amp;AI5&amp;AL5</f>
        <v>01.010,0150,04650</v>
      </c>
    </row>
    <row r="6" spans="2:40" ht="18" customHeight="1">
      <c r="B6" s="71">
        <v>2</v>
      </c>
      <c r="C6" s="71" t="s">
        <v>145</v>
      </c>
      <c r="D6" s="71" t="s">
        <v>826</v>
      </c>
      <c r="E6" s="72" t="s">
        <v>147</v>
      </c>
      <c r="F6" s="73" t="s">
        <v>827</v>
      </c>
      <c r="G6" s="74">
        <v>0.05</v>
      </c>
      <c r="H6" s="74" t="s">
        <v>824</v>
      </c>
      <c r="I6" s="74">
        <v>0.02</v>
      </c>
      <c r="J6" s="75" t="s">
        <v>824</v>
      </c>
      <c r="K6" s="75"/>
      <c r="L6" s="75"/>
      <c r="M6" s="75"/>
      <c r="N6" s="75"/>
      <c r="O6" s="75"/>
      <c r="P6" s="75"/>
      <c r="Q6" s="75"/>
      <c r="R6" s="75"/>
      <c r="S6" s="75"/>
      <c r="T6" s="75"/>
      <c r="U6" s="75"/>
      <c r="V6" s="75"/>
      <c r="W6" s="74">
        <v>0.05</v>
      </c>
      <c r="X6" s="75" t="s">
        <v>824</v>
      </c>
      <c r="Y6" s="74">
        <v>0.05</v>
      </c>
      <c r="Z6" s="75"/>
      <c r="AA6" s="74">
        <v>2.9000000000000001E-2</v>
      </c>
      <c r="AB6" s="75" t="s">
        <v>824</v>
      </c>
      <c r="AC6" s="76">
        <v>0.02</v>
      </c>
      <c r="AD6" s="76" t="s">
        <v>824</v>
      </c>
      <c r="AE6" s="76">
        <v>0.02</v>
      </c>
      <c r="AF6" s="75" t="s">
        <v>824</v>
      </c>
      <c r="AG6" s="79">
        <v>1.4999999999999999E-2</v>
      </c>
      <c r="AH6" s="78">
        <v>1708</v>
      </c>
      <c r="AI6" s="79">
        <v>0</v>
      </c>
      <c r="AJ6" s="78">
        <v>0</v>
      </c>
      <c r="AK6" s="79">
        <v>0</v>
      </c>
      <c r="AL6" s="79">
        <v>0</v>
      </c>
      <c r="AM6" s="80" t="str">
        <f t="shared" ref="AM6:AM69" si="0">C6&amp;AG6&amp;AI6&amp;AK6</f>
        <v>01.010,01500</v>
      </c>
      <c r="AN6" t="str">
        <f t="shared" ref="AN6:AN69" si="1">C6&amp;AG6&amp;AI6&amp;AL6</f>
        <v>01.010,01500</v>
      </c>
    </row>
    <row r="7" spans="2:40" ht="18" customHeight="1">
      <c r="B7" s="71">
        <v>3</v>
      </c>
      <c r="C7" s="71" t="s">
        <v>145</v>
      </c>
      <c r="D7" s="71" t="s">
        <v>828</v>
      </c>
      <c r="E7" s="72" t="s">
        <v>147</v>
      </c>
      <c r="F7" s="73" t="s">
        <v>829</v>
      </c>
      <c r="G7" s="74">
        <v>0.05</v>
      </c>
      <c r="H7" s="74" t="s">
        <v>824</v>
      </c>
      <c r="I7" s="74">
        <v>0.02</v>
      </c>
      <c r="J7" s="75" t="s">
        <v>824</v>
      </c>
      <c r="K7" s="75"/>
      <c r="L7" s="75"/>
      <c r="M7" s="75"/>
      <c r="N7" s="75"/>
      <c r="O7" s="75"/>
      <c r="P7" s="75"/>
      <c r="Q7" s="75"/>
      <c r="R7" s="75"/>
      <c r="S7" s="75"/>
      <c r="T7" s="75"/>
      <c r="U7" s="75"/>
      <c r="V7" s="75"/>
      <c r="W7" s="74">
        <v>0.05</v>
      </c>
      <c r="X7" s="75" t="s">
        <v>824</v>
      </c>
      <c r="Y7" s="74">
        <v>0.05</v>
      </c>
      <c r="Z7" s="75"/>
      <c r="AA7" s="74">
        <v>2.9000000000000001E-2</v>
      </c>
      <c r="AB7" s="75" t="s">
        <v>824</v>
      </c>
      <c r="AC7" s="76">
        <v>0.02</v>
      </c>
      <c r="AD7" s="76" t="s">
        <v>824</v>
      </c>
      <c r="AE7" s="76">
        <v>0.02</v>
      </c>
      <c r="AF7" s="75" t="s">
        <v>824</v>
      </c>
      <c r="AG7" s="79">
        <v>1.4999999999999999E-2</v>
      </c>
      <c r="AH7" s="78">
        <v>1708</v>
      </c>
      <c r="AI7" s="79">
        <v>0</v>
      </c>
      <c r="AJ7" s="78">
        <v>0</v>
      </c>
      <c r="AK7" s="79">
        <v>0.11</v>
      </c>
      <c r="AL7" s="79">
        <v>3.5000000000000003E-2</v>
      </c>
      <c r="AM7" s="80" t="str">
        <f t="shared" si="0"/>
        <v>01.010,01500,11</v>
      </c>
      <c r="AN7" t="str">
        <f t="shared" si="1"/>
        <v>01.010,01500,035</v>
      </c>
    </row>
    <row r="8" spans="2:40" ht="18" customHeight="1">
      <c r="B8" s="71">
        <v>4</v>
      </c>
      <c r="C8" s="71" t="s">
        <v>145</v>
      </c>
      <c r="D8" s="71" t="s">
        <v>830</v>
      </c>
      <c r="E8" s="72" t="s">
        <v>147</v>
      </c>
      <c r="F8" s="73" t="s">
        <v>831</v>
      </c>
      <c r="G8" s="74">
        <v>0.05</v>
      </c>
      <c r="H8" s="74" t="s">
        <v>824</v>
      </c>
      <c r="I8" s="74">
        <v>0.02</v>
      </c>
      <c r="J8" s="75" t="s">
        <v>824</v>
      </c>
      <c r="K8" s="75"/>
      <c r="L8" s="75"/>
      <c r="M8" s="75"/>
      <c r="N8" s="75"/>
      <c r="O8" s="75"/>
      <c r="P8" s="75"/>
      <c r="Q8" s="75"/>
      <c r="R8" s="75"/>
      <c r="S8" s="75"/>
      <c r="T8" s="75"/>
      <c r="U8" s="75"/>
      <c r="V8" s="75"/>
      <c r="W8" s="74">
        <v>0.05</v>
      </c>
      <c r="X8" s="75" t="s">
        <v>824</v>
      </c>
      <c r="Y8" s="74">
        <v>0.05</v>
      </c>
      <c r="Z8" s="75"/>
      <c r="AA8" s="74">
        <v>2.9000000000000001E-2</v>
      </c>
      <c r="AB8" s="75" t="s">
        <v>824</v>
      </c>
      <c r="AC8" s="76">
        <v>0.02</v>
      </c>
      <c r="AD8" s="76" t="s">
        <v>824</v>
      </c>
      <c r="AE8" s="76">
        <v>0.02</v>
      </c>
      <c r="AF8" s="75" t="s">
        <v>824</v>
      </c>
      <c r="AG8" s="79">
        <v>1.4999999999999999E-2</v>
      </c>
      <c r="AH8" s="78">
        <v>1708</v>
      </c>
      <c r="AI8" s="79">
        <v>4.65E-2</v>
      </c>
      <c r="AJ8" s="78">
        <v>5952</v>
      </c>
      <c r="AK8" s="79">
        <v>0.11</v>
      </c>
      <c r="AL8" s="79">
        <v>3.5000000000000003E-2</v>
      </c>
      <c r="AM8" s="80" t="str">
        <f t="shared" si="0"/>
        <v>01.010,0150,04650,11</v>
      </c>
      <c r="AN8" t="str">
        <f t="shared" si="1"/>
        <v>01.010,0150,04650,035</v>
      </c>
    </row>
    <row r="9" spans="2:40" ht="18" customHeight="1">
      <c r="B9" s="71">
        <v>5</v>
      </c>
      <c r="C9" s="81" t="s">
        <v>149</v>
      </c>
      <c r="D9" s="71" t="s">
        <v>832</v>
      </c>
      <c r="E9" s="82" t="s">
        <v>151</v>
      </c>
      <c r="F9" s="73" t="s">
        <v>827</v>
      </c>
      <c r="G9" s="74">
        <v>0.05</v>
      </c>
      <c r="H9" s="74" t="s">
        <v>824</v>
      </c>
      <c r="I9" s="74">
        <v>0.02</v>
      </c>
      <c r="J9" s="75" t="s">
        <v>824</v>
      </c>
      <c r="K9" s="75"/>
      <c r="L9" s="75"/>
      <c r="M9" s="75"/>
      <c r="N9" s="75"/>
      <c r="O9" s="75"/>
      <c r="P9" s="75"/>
      <c r="Q9" s="75"/>
      <c r="R9" s="75"/>
      <c r="S9" s="75"/>
      <c r="T9" s="75"/>
      <c r="U9" s="75"/>
      <c r="V9" s="75"/>
      <c r="W9" s="74">
        <v>0.05</v>
      </c>
      <c r="X9" s="75" t="s">
        <v>824</v>
      </c>
      <c r="Y9" s="74">
        <v>0.05</v>
      </c>
      <c r="Z9" s="75"/>
      <c r="AA9" s="74">
        <v>2.9000000000000001E-2</v>
      </c>
      <c r="AB9" s="75" t="s">
        <v>824</v>
      </c>
      <c r="AC9" s="76">
        <v>0.02</v>
      </c>
      <c r="AD9" s="76" t="s">
        <v>824</v>
      </c>
      <c r="AE9" s="76">
        <v>0.02</v>
      </c>
      <c r="AF9" s="75" t="s">
        <v>824</v>
      </c>
      <c r="AG9" s="79">
        <v>1.4999999999999999E-2</v>
      </c>
      <c r="AH9" s="78">
        <v>1708</v>
      </c>
      <c r="AI9" s="79">
        <v>0</v>
      </c>
      <c r="AJ9" s="78">
        <v>0</v>
      </c>
      <c r="AK9" s="79">
        <v>0</v>
      </c>
      <c r="AL9" s="79">
        <v>0</v>
      </c>
      <c r="AM9" s="80" t="str">
        <f t="shared" si="0"/>
        <v>01.020,01500</v>
      </c>
      <c r="AN9" t="str">
        <f t="shared" si="1"/>
        <v>01.020,01500</v>
      </c>
    </row>
    <row r="10" spans="2:40" ht="18" customHeight="1">
      <c r="B10" s="71">
        <v>6</v>
      </c>
      <c r="C10" s="81" t="s">
        <v>149</v>
      </c>
      <c r="D10" s="71" t="s">
        <v>833</v>
      </c>
      <c r="E10" s="82" t="s">
        <v>151</v>
      </c>
      <c r="F10" s="73" t="s">
        <v>823</v>
      </c>
      <c r="G10" s="74">
        <v>0.05</v>
      </c>
      <c r="H10" s="74" t="s">
        <v>824</v>
      </c>
      <c r="I10" s="74">
        <v>0.02</v>
      </c>
      <c r="J10" s="75" t="s">
        <v>824</v>
      </c>
      <c r="K10" s="75"/>
      <c r="L10" s="75"/>
      <c r="M10" s="75"/>
      <c r="N10" s="75"/>
      <c r="O10" s="75"/>
      <c r="P10" s="75"/>
      <c r="Q10" s="75"/>
      <c r="R10" s="75"/>
      <c r="S10" s="75"/>
      <c r="T10" s="75"/>
      <c r="U10" s="75"/>
      <c r="V10" s="75"/>
      <c r="W10" s="74">
        <v>0.05</v>
      </c>
      <c r="X10" s="75" t="s">
        <v>824</v>
      </c>
      <c r="Y10" s="74">
        <v>0.05</v>
      </c>
      <c r="Z10" s="75"/>
      <c r="AA10" s="74">
        <v>2.9000000000000001E-2</v>
      </c>
      <c r="AB10" s="75" t="s">
        <v>824</v>
      </c>
      <c r="AC10" s="76">
        <v>0.02</v>
      </c>
      <c r="AD10" s="76" t="s">
        <v>824</v>
      </c>
      <c r="AE10" s="76">
        <v>0.02</v>
      </c>
      <c r="AF10" s="75" t="s">
        <v>824</v>
      </c>
      <c r="AG10" s="79">
        <v>1.4999999999999999E-2</v>
      </c>
      <c r="AH10" s="78">
        <v>1708</v>
      </c>
      <c r="AI10" s="79">
        <v>4.65E-2</v>
      </c>
      <c r="AJ10" s="78">
        <v>5952</v>
      </c>
      <c r="AK10" s="79">
        <v>0</v>
      </c>
      <c r="AL10" s="79">
        <v>0</v>
      </c>
      <c r="AM10" s="80" t="str">
        <f t="shared" si="0"/>
        <v>01.020,0150,04650</v>
      </c>
      <c r="AN10" t="str">
        <f t="shared" si="1"/>
        <v>01.020,0150,04650</v>
      </c>
    </row>
    <row r="11" spans="2:40" ht="18" customHeight="1">
      <c r="B11" s="71">
        <v>7</v>
      </c>
      <c r="C11" s="81" t="s">
        <v>149</v>
      </c>
      <c r="D11" s="71" t="s">
        <v>834</v>
      </c>
      <c r="E11" s="82" t="s">
        <v>151</v>
      </c>
      <c r="F11" s="73" t="s">
        <v>829</v>
      </c>
      <c r="G11" s="74">
        <v>0.05</v>
      </c>
      <c r="H11" s="74" t="s">
        <v>824</v>
      </c>
      <c r="I11" s="74">
        <v>0.02</v>
      </c>
      <c r="J11" s="75" t="s">
        <v>824</v>
      </c>
      <c r="K11" s="75"/>
      <c r="L11" s="75"/>
      <c r="M11" s="75"/>
      <c r="N11" s="75"/>
      <c r="O11" s="75"/>
      <c r="P11" s="75"/>
      <c r="Q11" s="75"/>
      <c r="R11" s="75"/>
      <c r="S11" s="75"/>
      <c r="T11" s="75"/>
      <c r="U11" s="75"/>
      <c r="V11" s="75"/>
      <c r="W11" s="74">
        <v>0.05</v>
      </c>
      <c r="X11" s="75" t="s">
        <v>824</v>
      </c>
      <c r="Y11" s="74">
        <v>0.05</v>
      </c>
      <c r="Z11" s="75"/>
      <c r="AA11" s="74">
        <v>2.9000000000000001E-2</v>
      </c>
      <c r="AB11" s="75" t="s">
        <v>824</v>
      </c>
      <c r="AC11" s="76">
        <v>0.02</v>
      </c>
      <c r="AD11" s="76" t="s">
        <v>824</v>
      </c>
      <c r="AE11" s="76">
        <v>0.02</v>
      </c>
      <c r="AF11" s="75" t="s">
        <v>824</v>
      </c>
      <c r="AG11" s="79">
        <v>1.4999999999999999E-2</v>
      </c>
      <c r="AH11" s="78">
        <v>1708</v>
      </c>
      <c r="AI11" s="79">
        <v>0</v>
      </c>
      <c r="AJ11" s="78">
        <v>0</v>
      </c>
      <c r="AK11" s="79">
        <v>0.11</v>
      </c>
      <c r="AL11" s="79">
        <v>3.5000000000000003E-2</v>
      </c>
      <c r="AM11" s="80" t="str">
        <f t="shared" si="0"/>
        <v>01.020,01500,11</v>
      </c>
      <c r="AN11" t="str">
        <f t="shared" si="1"/>
        <v>01.020,01500,035</v>
      </c>
    </row>
    <row r="12" spans="2:40" ht="18" customHeight="1">
      <c r="B12" s="71">
        <v>8</v>
      </c>
      <c r="C12" s="81" t="s">
        <v>149</v>
      </c>
      <c r="D12" s="71" t="s">
        <v>835</v>
      </c>
      <c r="E12" s="82" t="s">
        <v>151</v>
      </c>
      <c r="F12" s="73" t="s">
        <v>831</v>
      </c>
      <c r="G12" s="74">
        <v>0.05</v>
      </c>
      <c r="H12" s="74" t="s">
        <v>824</v>
      </c>
      <c r="I12" s="74">
        <v>0.02</v>
      </c>
      <c r="J12" s="75" t="s">
        <v>824</v>
      </c>
      <c r="K12" s="75"/>
      <c r="L12" s="75"/>
      <c r="M12" s="75"/>
      <c r="N12" s="75"/>
      <c r="O12" s="75"/>
      <c r="P12" s="75"/>
      <c r="Q12" s="75"/>
      <c r="R12" s="75"/>
      <c r="S12" s="75"/>
      <c r="T12" s="75"/>
      <c r="U12" s="75"/>
      <c r="V12" s="75"/>
      <c r="W12" s="74">
        <v>0.05</v>
      </c>
      <c r="X12" s="75" t="s">
        <v>824</v>
      </c>
      <c r="Y12" s="74">
        <v>0.05</v>
      </c>
      <c r="Z12" s="75"/>
      <c r="AA12" s="74">
        <v>2.9000000000000001E-2</v>
      </c>
      <c r="AB12" s="75" t="s">
        <v>824</v>
      </c>
      <c r="AC12" s="76">
        <v>0.02</v>
      </c>
      <c r="AD12" s="76" t="s">
        <v>824</v>
      </c>
      <c r="AE12" s="76">
        <v>0.02</v>
      </c>
      <c r="AF12" s="75" t="s">
        <v>824</v>
      </c>
      <c r="AG12" s="79">
        <v>1.4999999999999999E-2</v>
      </c>
      <c r="AH12" s="78">
        <v>1708</v>
      </c>
      <c r="AI12" s="79">
        <v>4.65E-2</v>
      </c>
      <c r="AJ12" s="78">
        <v>5952</v>
      </c>
      <c r="AK12" s="79">
        <v>0.11</v>
      </c>
      <c r="AL12" s="79">
        <v>3.5000000000000003E-2</v>
      </c>
      <c r="AM12" s="80" t="str">
        <f t="shared" si="0"/>
        <v>01.020,0150,04650,11</v>
      </c>
      <c r="AN12" t="str">
        <f t="shared" si="1"/>
        <v>01.020,0150,04650,035</v>
      </c>
    </row>
    <row r="13" spans="2:40" ht="18" customHeight="1">
      <c r="B13" s="71">
        <v>9</v>
      </c>
      <c r="C13" s="81" t="s">
        <v>153</v>
      </c>
      <c r="D13" s="71" t="s">
        <v>836</v>
      </c>
      <c r="E13" s="83" t="s">
        <v>837</v>
      </c>
      <c r="F13" s="84" t="s">
        <v>838</v>
      </c>
      <c r="G13" s="74">
        <v>0.05</v>
      </c>
      <c r="H13" s="74" t="s">
        <v>824</v>
      </c>
      <c r="I13" s="74">
        <v>0.02</v>
      </c>
      <c r="J13" s="75" t="s">
        <v>824</v>
      </c>
      <c r="K13" s="75"/>
      <c r="L13" s="75"/>
      <c r="M13" s="75"/>
      <c r="N13" s="75"/>
      <c r="O13" s="75"/>
      <c r="P13" s="75"/>
      <c r="Q13" s="75"/>
      <c r="R13" s="75"/>
      <c r="S13" s="75"/>
      <c r="T13" s="75"/>
      <c r="U13" s="75"/>
      <c r="V13" s="75"/>
      <c r="W13" s="74">
        <v>0.05</v>
      </c>
      <c r="X13" s="75" t="s">
        <v>824</v>
      </c>
      <c r="Y13" s="74">
        <v>0.05</v>
      </c>
      <c r="Z13" s="75"/>
      <c r="AA13" s="74">
        <v>2.9000000000000001E-2</v>
      </c>
      <c r="AB13" s="75" t="s">
        <v>824</v>
      </c>
      <c r="AC13" s="76">
        <v>0.02</v>
      </c>
      <c r="AD13" s="76" t="s">
        <v>824</v>
      </c>
      <c r="AE13" s="76">
        <v>0.02</v>
      </c>
      <c r="AF13" s="75" t="s">
        <v>824</v>
      </c>
      <c r="AG13" s="79">
        <v>0</v>
      </c>
      <c r="AH13" s="78">
        <v>0</v>
      </c>
      <c r="AI13" s="79">
        <v>0</v>
      </c>
      <c r="AJ13" s="78">
        <v>0</v>
      </c>
      <c r="AK13" s="79">
        <v>0</v>
      </c>
      <c r="AL13" s="79">
        <v>0</v>
      </c>
      <c r="AM13" s="80" t="str">
        <f t="shared" si="0"/>
        <v>01.03000</v>
      </c>
      <c r="AN13" t="str">
        <f t="shared" si="1"/>
        <v>01.03000</v>
      </c>
    </row>
    <row r="14" spans="2:40" ht="18" customHeight="1">
      <c r="B14" s="71">
        <v>10</v>
      </c>
      <c r="C14" s="81" t="s">
        <v>153</v>
      </c>
      <c r="D14" s="71" t="s">
        <v>839</v>
      </c>
      <c r="E14" s="82" t="s">
        <v>837</v>
      </c>
      <c r="F14" s="84" t="s">
        <v>840</v>
      </c>
      <c r="G14" s="74">
        <v>0.05</v>
      </c>
      <c r="H14" s="74" t="s">
        <v>824</v>
      </c>
      <c r="I14" s="74">
        <v>0.02</v>
      </c>
      <c r="J14" s="75" t="s">
        <v>824</v>
      </c>
      <c r="K14" s="75"/>
      <c r="L14" s="75"/>
      <c r="M14" s="75"/>
      <c r="N14" s="75"/>
      <c r="O14" s="75"/>
      <c r="P14" s="75"/>
      <c r="Q14" s="75"/>
      <c r="R14" s="75"/>
      <c r="S14" s="75"/>
      <c r="T14" s="75"/>
      <c r="U14" s="75"/>
      <c r="V14" s="75"/>
      <c r="W14" s="74">
        <v>0.05</v>
      </c>
      <c r="X14" s="75" t="s">
        <v>824</v>
      </c>
      <c r="Y14" s="74">
        <v>0.05</v>
      </c>
      <c r="Z14" s="75"/>
      <c r="AA14" s="74">
        <v>2.9000000000000001E-2</v>
      </c>
      <c r="AB14" s="75" t="s">
        <v>824</v>
      </c>
      <c r="AC14" s="76">
        <v>0.02</v>
      </c>
      <c r="AD14" s="76" t="s">
        <v>824</v>
      </c>
      <c r="AE14" s="76">
        <v>0.02</v>
      </c>
      <c r="AF14" s="75" t="s">
        <v>824</v>
      </c>
      <c r="AG14" s="79">
        <v>0</v>
      </c>
      <c r="AH14" s="78">
        <v>0</v>
      </c>
      <c r="AI14" s="79">
        <v>0</v>
      </c>
      <c r="AJ14" s="78">
        <v>0</v>
      </c>
      <c r="AK14" s="79">
        <v>0.11</v>
      </c>
      <c r="AL14" s="79">
        <v>3.5000000000000003E-2</v>
      </c>
      <c r="AM14" s="80" t="str">
        <f t="shared" si="0"/>
        <v>01.03000,11</v>
      </c>
      <c r="AN14" t="str">
        <f t="shared" si="1"/>
        <v>01.03000,035</v>
      </c>
    </row>
    <row r="15" spans="2:40" ht="18" customHeight="1">
      <c r="B15" s="71">
        <v>11</v>
      </c>
      <c r="C15" s="81" t="s">
        <v>156</v>
      </c>
      <c r="D15" s="71" t="s">
        <v>841</v>
      </c>
      <c r="E15" s="83" t="s">
        <v>842</v>
      </c>
      <c r="F15" s="84" t="s">
        <v>838</v>
      </c>
      <c r="G15" s="74">
        <v>0.05</v>
      </c>
      <c r="H15" s="74" t="s">
        <v>824</v>
      </c>
      <c r="I15" s="74">
        <v>0.02</v>
      </c>
      <c r="J15" s="75" t="s">
        <v>824</v>
      </c>
      <c r="K15" s="77"/>
      <c r="L15" s="77"/>
      <c r="M15" s="77"/>
      <c r="N15" s="77"/>
      <c r="O15" s="77" t="s">
        <v>825</v>
      </c>
      <c r="P15" s="77"/>
      <c r="Q15" s="79" t="s">
        <v>825</v>
      </c>
      <c r="R15" s="79"/>
      <c r="S15" s="75"/>
      <c r="T15" s="75"/>
      <c r="U15" s="75"/>
      <c r="V15" s="75"/>
      <c r="W15" s="74">
        <v>0.05</v>
      </c>
      <c r="X15" s="75" t="s">
        <v>824</v>
      </c>
      <c r="Y15" s="74">
        <v>0.05</v>
      </c>
      <c r="Z15" s="75"/>
      <c r="AA15" s="74">
        <v>2.9000000000000001E-2</v>
      </c>
      <c r="AB15" s="75" t="s">
        <v>824</v>
      </c>
      <c r="AC15" s="76">
        <v>0.02</v>
      </c>
      <c r="AD15" s="76" t="s">
        <v>824</v>
      </c>
      <c r="AE15" s="76">
        <v>0.02</v>
      </c>
      <c r="AF15" s="75" t="s">
        <v>824</v>
      </c>
      <c r="AG15" s="79">
        <v>1.4999999999999999E-2</v>
      </c>
      <c r="AH15" s="78">
        <v>1708</v>
      </c>
      <c r="AI15" s="79">
        <v>4.65E-2</v>
      </c>
      <c r="AJ15" s="78">
        <v>5952</v>
      </c>
      <c r="AK15" s="79">
        <v>0</v>
      </c>
      <c r="AL15" s="79">
        <v>0</v>
      </c>
      <c r="AM15" s="80" t="str">
        <f t="shared" si="0"/>
        <v>01.040,0150,04650</v>
      </c>
      <c r="AN15" t="str">
        <f t="shared" si="1"/>
        <v>01.040,0150,04650</v>
      </c>
    </row>
    <row r="16" spans="2:40" ht="18" customHeight="1">
      <c r="B16" s="71">
        <v>12</v>
      </c>
      <c r="C16" s="81" t="s">
        <v>156</v>
      </c>
      <c r="D16" s="71" t="s">
        <v>843</v>
      </c>
      <c r="E16" s="83" t="s">
        <v>842</v>
      </c>
      <c r="F16" s="84" t="s">
        <v>840</v>
      </c>
      <c r="G16" s="74">
        <v>0.05</v>
      </c>
      <c r="H16" s="74" t="s">
        <v>824</v>
      </c>
      <c r="I16" s="74">
        <v>0.02</v>
      </c>
      <c r="J16" s="75" t="s">
        <v>824</v>
      </c>
      <c r="K16" s="75"/>
      <c r="L16" s="75"/>
      <c r="M16" s="75"/>
      <c r="N16" s="75"/>
      <c r="O16" s="75"/>
      <c r="P16" s="75"/>
      <c r="Q16" s="75"/>
      <c r="R16" s="75"/>
      <c r="S16" s="75"/>
      <c r="T16" s="75"/>
      <c r="U16" s="75"/>
      <c r="V16" s="75"/>
      <c r="W16" s="74">
        <v>0.05</v>
      </c>
      <c r="X16" s="75" t="s">
        <v>824</v>
      </c>
      <c r="Y16" s="74">
        <v>0.05</v>
      </c>
      <c r="Z16" s="75"/>
      <c r="AA16" s="74">
        <v>2.9000000000000001E-2</v>
      </c>
      <c r="AB16" s="75" t="s">
        <v>824</v>
      </c>
      <c r="AC16" s="76">
        <v>0.02</v>
      </c>
      <c r="AD16" s="76" t="s">
        <v>824</v>
      </c>
      <c r="AE16" s="76">
        <v>0.02</v>
      </c>
      <c r="AF16" s="75" t="s">
        <v>824</v>
      </c>
      <c r="AG16" s="79">
        <v>1.4999999999999999E-2</v>
      </c>
      <c r="AH16" s="78">
        <v>1708</v>
      </c>
      <c r="AI16" s="79">
        <v>4.65E-2</v>
      </c>
      <c r="AJ16" s="78">
        <v>5952</v>
      </c>
      <c r="AK16" s="79">
        <v>0.11</v>
      </c>
      <c r="AL16" s="79">
        <v>3.5000000000000003E-2</v>
      </c>
      <c r="AM16" s="80" t="str">
        <f t="shared" si="0"/>
        <v>01.040,0150,04650,11</v>
      </c>
      <c r="AN16" t="str">
        <f t="shared" si="1"/>
        <v>01.040,0150,04650,035</v>
      </c>
    </row>
    <row r="17" spans="2:40" ht="18" customHeight="1">
      <c r="B17" s="71">
        <v>13</v>
      </c>
      <c r="C17" s="81" t="s">
        <v>160</v>
      </c>
      <c r="D17" s="71" t="s">
        <v>844</v>
      </c>
      <c r="E17" s="82" t="s">
        <v>161</v>
      </c>
      <c r="F17" s="85" t="s">
        <v>838</v>
      </c>
      <c r="G17" s="74">
        <v>0.05</v>
      </c>
      <c r="H17" s="74" t="s">
        <v>824</v>
      </c>
      <c r="I17" s="74">
        <v>0.02</v>
      </c>
      <c r="J17" s="75" t="s">
        <v>824</v>
      </c>
      <c r="K17" s="79"/>
      <c r="L17" s="79"/>
      <c r="M17" s="78"/>
      <c r="N17" s="78"/>
      <c r="O17" s="86" t="s">
        <v>825</v>
      </c>
      <c r="P17" s="86"/>
      <c r="Q17" s="79" t="s">
        <v>825</v>
      </c>
      <c r="R17" s="79"/>
      <c r="S17" s="75"/>
      <c r="T17" s="75"/>
      <c r="U17" s="75"/>
      <c r="V17" s="75"/>
      <c r="W17" s="74">
        <v>0.05</v>
      </c>
      <c r="X17" s="75" t="s">
        <v>824</v>
      </c>
      <c r="Y17" s="74">
        <v>0.05</v>
      </c>
      <c r="Z17" s="75"/>
      <c r="AA17" s="74">
        <v>2.9000000000000001E-2</v>
      </c>
      <c r="AB17" s="75" t="s">
        <v>824</v>
      </c>
      <c r="AC17" s="76">
        <v>0.02</v>
      </c>
      <c r="AD17" s="76" t="s">
        <v>824</v>
      </c>
      <c r="AE17" s="76">
        <v>0.02</v>
      </c>
      <c r="AF17" s="75" t="s">
        <v>824</v>
      </c>
      <c r="AG17" s="79">
        <v>0</v>
      </c>
      <c r="AH17" s="78">
        <v>0</v>
      </c>
      <c r="AI17" s="79">
        <v>0</v>
      </c>
      <c r="AJ17" s="78">
        <v>0</v>
      </c>
      <c r="AK17" s="79">
        <v>0</v>
      </c>
      <c r="AL17" s="79">
        <v>0</v>
      </c>
      <c r="AM17" s="80" t="str">
        <f t="shared" si="0"/>
        <v>01.05000</v>
      </c>
      <c r="AN17" t="str">
        <f t="shared" si="1"/>
        <v>01.05000</v>
      </c>
    </row>
    <row r="18" spans="2:40" ht="18" customHeight="1">
      <c r="B18" s="71">
        <v>14</v>
      </c>
      <c r="C18" s="81" t="s">
        <v>160</v>
      </c>
      <c r="D18" s="71" t="s">
        <v>845</v>
      </c>
      <c r="E18" s="82" t="s">
        <v>161</v>
      </c>
      <c r="F18" s="85" t="s">
        <v>840</v>
      </c>
      <c r="G18" s="74">
        <v>0.05</v>
      </c>
      <c r="H18" s="74" t="s">
        <v>824</v>
      </c>
      <c r="I18" s="74">
        <v>0.02</v>
      </c>
      <c r="J18" s="75" t="s">
        <v>824</v>
      </c>
      <c r="K18" s="75"/>
      <c r="L18" s="75"/>
      <c r="M18" s="75"/>
      <c r="N18" s="75"/>
      <c r="O18" s="75"/>
      <c r="P18" s="75"/>
      <c r="Q18" s="75"/>
      <c r="R18" s="75"/>
      <c r="S18" s="75"/>
      <c r="T18" s="75"/>
      <c r="U18" s="75"/>
      <c r="V18" s="75"/>
      <c r="W18" s="74">
        <v>0.05</v>
      </c>
      <c r="X18" s="75" t="s">
        <v>824</v>
      </c>
      <c r="Y18" s="74">
        <v>0.05</v>
      </c>
      <c r="Z18" s="75"/>
      <c r="AA18" s="74">
        <v>2.9000000000000001E-2</v>
      </c>
      <c r="AB18" s="75" t="s">
        <v>824</v>
      </c>
      <c r="AC18" s="76">
        <v>0.02</v>
      </c>
      <c r="AD18" s="76" t="s">
        <v>824</v>
      </c>
      <c r="AE18" s="76">
        <v>0.02</v>
      </c>
      <c r="AF18" s="75" t="s">
        <v>824</v>
      </c>
      <c r="AG18" s="79">
        <v>0</v>
      </c>
      <c r="AH18" s="78">
        <v>0</v>
      </c>
      <c r="AI18" s="79">
        <v>0</v>
      </c>
      <c r="AJ18" s="78">
        <v>0</v>
      </c>
      <c r="AK18" s="79">
        <v>0.11</v>
      </c>
      <c r="AL18" s="79">
        <v>3.5000000000000003E-2</v>
      </c>
      <c r="AM18" s="80" t="str">
        <f t="shared" si="0"/>
        <v>01.05000,11</v>
      </c>
      <c r="AN18" t="str">
        <f t="shared" si="1"/>
        <v>01.05000,035</v>
      </c>
    </row>
    <row r="19" spans="2:40" ht="18" customHeight="1">
      <c r="B19" s="71">
        <v>15</v>
      </c>
      <c r="C19" s="81" t="s">
        <v>160</v>
      </c>
      <c r="D19" s="71" t="s">
        <v>846</v>
      </c>
      <c r="E19" s="82" t="s">
        <v>161</v>
      </c>
      <c r="F19" s="73" t="s">
        <v>823</v>
      </c>
      <c r="G19" s="74">
        <v>0.05</v>
      </c>
      <c r="H19" s="74" t="s">
        <v>824</v>
      </c>
      <c r="I19" s="74">
        <v>0.02</v>
      </c>
      <c r="J19" s="75" t="s">
        <v>824</v>
      </c>
      <c r="K19" s="75"/>
      <c r="L19" s="75"/>
      <c r="M19" s="75"/>
      <c r="N19" s="75"/>
      <c r="O19" s="75"/>
      <c r="P19" s="75"/>
      <c r="Q19" s="75"/>
      <c r="R19" s="75"/>
      <c r="S19" s="75"/>
      <c r="T19" s="75"/>
      <c r="U19" s="75"/>
      <c r="V19" s="75"/>
      <c r="W19" s="74">
        <v>0.05</v>
      </c>
      <c r="X19" s="75" t="s">
        <v>824</v>
      </c>
      <c r="Y19" s="74">
        <v>0.05</v>
      </c>
      <c r="Z19" s="75"/>
      <c r="AA19" s="74">
        <v>2.9000000000000001E-2</v>
      </c>
      <c r="AB19" s="75" t="s">
        <v>824</v>
      </c>
      <c r="AC19" s="76">
        <v>0.02</v>
      </c>
      <c r="AD19" s="76" t="s">
        <v>824</v>
      </c>
      <c r="AE19" s="76">
        <v>0.02</v>
      </c>
      <c r="AF19" s="75" t="s">
        <v>824</v>
      </c>
      <c r="AG19" s="79">
        <v>1.4999999999999999E-2</v>
      </c>
      <c r="AH19" s="78">
        <v>1708</v>
      </c>
      <c r="AI19" s="79">
        <v>4.65E-2</v>
      </c>
      <c r="AJ19" s="78">
        <v>5952</v>
      </c>
      <c r="AK19" s="79">
        <v>0</v>
      </c>
      <c r="AL19" s="79">
        <v>0</v>
      </c>
      <c r="AM19" s="80" t="str">
        <f t="shared" si="0"/>
        <v>01.050,0150,04650</v>
      </c>
      <c r="AN19" t="str">
        <f t="shared" si="1"/>
        <v>01.050,0150,04650</v>
      </c>
    </row>
    <row r="20" spans="2:40" ht="18" customHeight="1">
      <c r="B20" s="71">
        <v>16</v>
      </c>
      <c r="C20" s="81" t="s">
        <v>160</v>
      </c>
      <c r="D20" s="71" t="s">
        <v>847</v>
      </c>
      <c r="E20" s="82" t="s">
        <v>161</v>
      </c>
      <c r="F20" s="73" t="s">
        <v>831</v>
      </c>
      <c r="G20" s="74">
        <v>0.05</v>
      </c>
      <c r="H20" s="74" t="s">
        <v>824</v>
      </c>
      <c r="I20" s="74">
        <v>0.02</v>
      </c>
      <c r="J20" s="75" t="s">
        <v>824</v>
      </c>
      <c r="K20" s="75"/>
      <c r="L20" s="75"/>
      <c r="M20" s="75"/>
      <c r="N20" s="75"/>
      <c r="O20" s="75"/>
      <c r="P20" s="75"/>
      <c r="Q20" s="75"/>
      <c r="R20" s="75"/>
      <c r="S20" s="75"/>
      <c r="T20" s="75"/>
      <c r="U20" s="75"/>
      <c r="V20" s="75"/>
      <c r="W20" s="74">
        <v>0.05</v>
      </c>
      <c r="X20" s="75" t="s">
        <v>824</v>
      </c>
      <c r="Y20" s="74">
        <v>0.05</v>
      </c>
      <c r="Z20" s="75"/>
      <c r="AA20" s="74">
        <v>2.9000000000000001E-2</v>
      </c>
      <c r="AB20" s="75" t="s">
        <v>824</v>
      </c>
      <c r="AC20" s="76">
        <v>0.02</v>
      </c>
      <c r="AD20" s="76" t="s">
        <v>824</v>
      </c>
      <c r="AE20" s="76">
        <v>0.02</v>
      </c>
      <c r="AF20" s="75" t="s">
        <v>824</v>
      </c>
      <c r="AG20" s="79">
        <v>1.4999999999999999E-2</v>
      </c>
      <c r="AH20" s="78">
        <v>1708</v>
      </c>
      <c r="AI20" s="79">
        <v>4.65E-2</v>
      </c>
      <c r="AJ20" s="78">
        <v>5952</v>
      </c>
      <c r="AK20" s="79">
        <v>0.11</v>
      </c>
      <c r="AL20" s="79">
        <v>3.5000000000000003E-2</v>
      </c>
      <c r="AM20" s="80" t="str">
        <f t="shared" si="0"/>
        <v>01.050,0150,04650,11</v>
      </c>
      <c r="AN20" t="str">
        <f t="shared" si="1"/>
        <v>01.050,0150,04650,035</v>
      </c>
    </row>
    <row r="21" spans="2:40" ht="18" customHeight="1">
      <c r="B21" s="71">
        <v>17</v>
      </c>
      <c r="C21" s="81" t="s">
        <v>163</v>
      </c>
      <c r="D21" s="71" t="s">
        <v>848</v>
      </c>
      <c r="E21" s="82" t="s">
        <v>164</v>
      </c>
      <c r="F21" s="85" t="s">
        <v>838</v>
      </c>
      <c r="G21" s="74">
        <v>0.05</v>
      </c>
      <c r="H21" s="74" t="s">
        <v>824</v>
      </c>
      <c r="I21" s="74">
        <v>0.02</v>
      </c>
      <c r="J21" s="75" t="s">
        <v>824</v>
      </c>
      <c r="K21" s="75"/>
      <c r="L21" s="75"/>
      <c r="M21" s="75"/>
      <c r="N21" s="75"/>
      <c r="O21" s="75"/>
      <c r="P21" s="75"/>
      <c r="Q21" s="75"/>
      <c r="R21" s="75"/>
      <c r="S21" s="75"/>
      <c r="T21" s="75"/>
      <c r="U21" s="75"/>
      <c r="V21" s="75"/>
      <c r="W21" s="74">
        <v>0.05</v>
      </c>
      <c r="X21" s="75" t="s">
        <v>849</v>
      </c>
      <c r="Y21" s="74">
        <v>0.05</v>
      </c>
      <c r="Z21" s="75"/>
      <c r="AA21" s="74">
        <v>2.9000000000000001E-2</v>
      </c>
      <c r="AB21" s="75" t="s">
        <v>824</v>
      </c>
      <c r="AC21" s="76">
        <v>0.02</v>
      </c>
      <c r="AD21" s="76" t="s">
        <v>824</v>
      </c>
      <c r="AE21" s="76">
        <v>0.02</v>
      </c>
      <c r="AF21" s="75" t="s">
        <v>824</v>
      </c>
      <c r="AG21" s="79">
        <v>1.4999999999999999E-2</v>
      </c>
      <c r="AH21" s="78">
        <v>1708</v>
      </c>
      <c r="AI21" s="79">
        <v>4.65E-2</v>
      </c>
      <c r="AJ21" s="78">
        <v>5952</v>
      </c>
      <c r="AK21" s="79">
        <v>0</v>
      </c>
      <c r="AL21" s="79">
        <v>0</v>
      </c>
      <c r="AM21" s="80" t="str">
        <f t="shared" si="0"/>
        <v>01.060,0150,04650</v>
      </c>
      <c r="AN21" t="str">
        <f t="shared" si="1"/>
        <v>01.060,0150,04650</v>
      </c>
    </row>
    <row r="22" spans="2:40" ht="18" customHeight="1">
      <c r="B22" s="71">
        <v>18</v>
      </c>
      <c r="C22" s="81" t="s">
        <v>163</v>
      </c>
      <c r="D22" s="71" t="s">
        <v>850</v>
      </c>
      <c r="E22" s="82" t="s">
        <v>164</v>
      </c>
      <c r="F22" s="85" t="s">
        <v>827</v>
      </c>
      <c r="G22" s="74">
        <v>0.05</v>
      </c>
      <c r="H22" s="74" t="s">
        <v>824</v>
      </c>
      <c r="I22" s="74">
        <v>0.02</v>
      </c>
      <c r="J22" s="75" t="s">
        <v>824</v>
      </c>
      <c r="K22" s="75"/>
      <c r="L22" s="75"/>
      <c r="M22" s="75"/>
      <c r="N22" s="75"/>
      <c r="O22" s="75"/>
      <c r="P22" s="75"/>
      <c r="Q22" s="75"/>
      <c r="R22" s="75"/>
      <c r="S22" s="75"/>
      <c r="T22" s="75"/>
      <c r="U22" s="75"/>
      <c r="V22" s="75"/>
      <c r="W22" s="74">
        <v>0.05</v>
      </c>
      <c r="X22" s="75" t="s">
        <v>849</v>
      </c>
      <c r="Y22" s="74">
        <v>0.05</v>
      </c>
      <c r="Z22" s="75"/>
      <c r="AA22" s="74">
        <v>2.9000000000000001E-2</v>
      </c>
      <c r="AB22" s="75" t="s">
        <v>824</v>
      </c>
      <c r="AC22" s="76">
        <v>0.02</v>
      </c>
      <c r="AD22" s="76" t="s">
        <v>824</v>
      </c>
      <c r="AE22" s="76">
        <v>0.02</v>
      </c>
      <c r="AF22" s="75" t="s">
        <v>824</v>
      </c>
      <c r="AG22" s="79">
        <v>1.4999999999999999E-2</v>
      </c>
      <c r="AH22" s="78">
        <v>1708</v>
      </c>
      <c r="AI22" s="79">
        <v>0</v>
      </c>
      <c r="AJ22" s="78">
        <v>0</v>
      </c>
      <c r="AK22" s="79">
        <v>0</v>
      </c>
      <c r="AL22" s="79">
        <v>0</v>
      </c>
      <c r="AM22" s="80" t="str">
        <f t="shared" si="0"/>
        <v>01.060,01500</v>
      </c>
      <c r="AN22" t="str">
        <f t="shared" si="1"/>
        <v>01.060,01500</v>
      </c>
    </row>
    <row r="23" spans="2:40" ht="18" customHeight="1">
      <c r="B23" s="71">
        <v>19</v>
      </c>
      <c r="C23" s="81" t="s">
        <v>166</v>
      </c>
      <c r="D23" s="71" t="s">
        <v>851</v>
      </c>
      <c r="E23" s="82" t="s">
        <v>168</v>
      </c>
      <c r="F23" s="85" t="s">
        <v>838</v>
      </c>
      <c r="G23" s="74">
        <v>0.05</v>
      </c>
      <c r="H23" s="74" t="s">
        <v>824</v>
      </c>
      <c r="I23" s="74">
        <v>0.02</v>
      </c>
      <c r="J23" s="75" t="s">
        <v>824</v>
      </c>
      <c r="M23"/>
      <c r="U23"/>
      <c r="W23" s="74">
        <v>0.05</v>
      </c>
      <c r="X23" s="75" t="s">
        <v>849</v>
      </c>
      <c r="Y23" s="74">
        <v>0.05</v>
      </c>
      <c r="AA23" s="74">
        <v>2.9000000000000001E-2</v>
      </c>
      <c r="AB23" s="75" t="s">
        <v>824</v>
      </c>
      <c r="AC23" s="76">
        <v>0.02</v>
      </c>
      <c r="AD23" s="76" t="s">
        <v>824</v>
      </c>
      <c r="AE23" s="76">
        <v>0.02</v>
      </c>
      <c r="AF23" s="75" t="s">
        <v>824</v>
      </c>
      <c r="AG23" s="79">
        <v>1.4999999999999999E-2</v>
      </c>
      <c r="AH23" s="78">
        <v>1708</v>
      </c>
      <c r="AI23" s="79">
        <v>4.65E-2</v>
      </c>
      <c r="AJ23" s="78">
        <v>5952</v>
      </c>
      <c r="AK23" s="79">
        <v>0</v>
      </c>
      <c r="AL23" s="79">
        <v>0</v>
      </c>
      <c r="AM23" s="80" t="str">
        <f t="shared" si="0"/>
        <v>01.070,0150,04650</v>
      </c>
      <c r="AN23" t="str">
        <f t="shared" si="1"/>
        <v>01.070,0150,04650</v>
      </c>
    </row>
    <row r="24" spans="2:40" ht="18" customHeight="1">
      <c r="B24" s="71">
        <v>20</v>
      </c>
      <c r="C24" s="81" t="s">
        <v>166</v>
      </c>
      <c r="D24" s="71" t="s">
        <v>852</v>
      </c>
      <c r="E24" s="82" t="s">
        <v>168</v>
      </c>
      <c r="F24" s="85" t="s">
        <v>853</v>
      </c>
      <c r="G24" s="74">
        <v>0.05</v>
      </c>
      <c r="H24" s="74" t="s">
        <v>824</v>
      </c>
      <c r="I24" s="74">
        <v>0.02</v>
      </c>
      <c r="J24" s="75" t="s">
        <v>824</v>
      </c>
      <c r="K24" s="79"/>
      <c r="L24" s="79"/>
      <c r="M24" s="78"/>
      <c r="N24" s="78"/>
      <c r="O24" s="86" t="s">
        <v>825</v>
      </c>
      <c r="P24" s="86"/>
      <c r="Q24" s="79" t="s">
        <v>825</v>
      </c>
      <c r="R24" s="87"/>
      <c r="S24" s="80"/>
      <c r="T24" s="80"/>
      <c r="U24"/>
      <c r="W24" s="74">
        <v>0.05</v>
      </c>
      <c r="X24" s="75" t="s">
        <v>849</v>
      </c>
      <c r="Y24" s="74">
        <v>0.05</v>
      </c>
      <c r="AA24" s="74">
        <v>2.9000000000000001E-2</v>
      </c>
      <c r="AB24" s="75" t="s">
        <v>824</v>
      </c>
      <c r="AC24" s="76">
        <v>0.02</v>
      </c>
      <c r="AD24" s="76" t="s">
        <v>824</v>
      </c>
      <c r="AE24" s="76">
        <v>0.02</v>
      </c>
      <c r="AF24" s="75" t="s">
        <v>824</v>
      </c>
      <c r="AG24" s="79">
        <v>0</v>
      </c>
      <c r="AH24" s="79">
        <v>0</v>
      </c>
      <c r="AI24" s="79">
        <v>0</v>
      </c>
      <c r="AJ24" s="77">
        <v>0</v>
      </c>
      <c r="AK24" s="79">
        <v>0</v>
      </c>
      <c r="AL24" s="79">
        <v>0</v>
      </c>
      <c r="AM24" s="80" t="str">
        <f t="shared" si="0"/>
        <v>01.07000</v>
      </c>
      <c r="AN24" t="str">
        <f t="shared" si="1"/>
        <v>01.07000</v>
      </c>
    </row>
    <row r="25" spans="2:40" ht="18" customHeight="1">
      <c r="B25" s="71">
        <v>21</v>
      </c>
      <c r="C25" s="81" t="s">
        <v>166</v>
      </c>
      <c r="D25" s="71" t="s">
        <v>854</v>
      </c>
      <c r="E25" s="82" t="s">
        <v>168</v>
      </c>
      <c r="F25" s="85" t="s">
        <v>840</v>
      </c>
      <c r="G25" s="74">
        <v>0.05</v>
      </c>
      <c r="H25" s="74" t="s">
        <v>824</v>
      </c>
      <c r="I25" s="74">
        <v>0.02</v>
      </c>
      <c r="J25" s="75" t="s">
        <v>824</v>
      </c>
      <c r="K25" s="79"/>
      <c r="L25" s="79"/>
      <c r="M25" s="78"/>
      <c r="N25" s="78"/>
      <c r="O25" s="86"/>
      <c r="P25" s="86"/>
      <c r="Q25" s="79"/>
      <c r="R25" s="87"/>
      <c r="S25" s="80"/>
      <c r="T25" s="80"/>
      <c r="U25"/>
      <c r="W25" s="74">
        <v>0.05</v>
      </c>
      <c r="X25" s="75" t="s">
        <v>849</v>
      </c>
      <c r="Y25" s="74">
        <v>0.05</v>
      </c>
      <c r="AA25" s="74">
        <v>2.9000000000000001E-2</v>
      </c>
      <c r="AB25" s="75" t="s">
        <v>824</v>
      </c>
      <c r="AC25" s="76">
        <v>0.02</v>
      </c>
      <c r="AD25" s="76" t="s">
        <v>824</v>
      </c>
      <c r="AE25" s="76">
        <v>0.02</v>
      </c>
      <c r="AF25" s="75" t="s">
        <v>824</v>
      </c>
      <c r="AG25" s="79">
        <v>1.4999999999999999E-2</v>
      </c>
      <c r="AH25" s="78">
        <v>1708</v>
      </c>
      <c r="AI25" s="79">
        <v>4.65E-2</v>
      </c>
      <c r="AJ25" s="78">
        <v>5952</v>
      </c>
      <c r="AK25" s="79">
        <v>0.11</v>
      </c>
      <c r="AL25" s="79">
        <v>3.5000000000000003E-2</v>
      </c>
      <c r="AM25" s="80" t="str">
        <f t="shared" si="0"/>
        <v>01.070,0150,04650,11</v>
      </c>
      <c r="AN25" t="str">
        <f t="shared" si="1"/>
        <v>01.070,0150,04650,035</v>
      </c>
    </row>
    <row r="26" spans="2:40" ht="18" customHeight="1">
      <c r="B26" s="71">
        <v>22</v>
      </c>
      <c r="C26" s="81" t="s">
        <v>166</v>
      </c>
      <c r="D26" s="71" t="s">
        <v>855</v>
      </c>
      <c r="E26" s="82" t="s">
        <v>168</v>
      </c>
      <c r="F26" s="85" t="s">
        <v>856</v>
      </c>
      <c r="G26" s="74">
        <v>0.05</v>
      </c>
      <c r="H26" s="74" t="s">
        <v>824</v>
      </c>
      <c r="I26" s="74">
        <v>0.02</v>
      </c>
      <c r="J26" s="75" t="s">
        <v>824</v>
      </c>
      <c r="K26" s="75"/>
      <c r="L26" s="75"/>
      <c r="M26" s="75"/>
      <c r="N26" s="75"/>
      <c r="O26" s="75"/>
      <c r="P26" s="75"/>
      <c r="Q26" s="75"/>
      <c r="R26" s="75"/>
      <c r="S26" s="75"/>
      <c r="T26" s="75"/>
      <c r="U26" s="75"/>
      <c r="V26" s="75"/>
      <c r="W26" s="74">
        <v>0.05</v>
      </c>
      <c r="X26" s="75" t="s">
        <v>849</v>
      </c>
      <c r="Y26" s="74">
        <v>0.05</v>
      </c>
      <c r="Z26" s="75"/>
      <c r="AA26" s="74">
        <v>2.9000000000000001E-2</v>
      </c>
      <c r="AB26" s="75" t="s">
        <v>824</v>
      </c>
      <c r="AC26" s="76">
        <v>0.02</v>
      </c>
      <c r="AD26" s="76" t="s">
        <v>824</v>
      </c>
      <c r="AE26" s="76">
        <v>0.02</v>
      </c>
      <c r="AF26" s="75" t="s">
        <v>824</v>
      </c>
      <c r="AG26" s="79">
        <v>0</v>
      </c>
      <c r="AH26" s="79">
        <v>0</v>
      </c>
      <c r="AI26" s="79">
        <v>0</v>
      </c>
      <c r="AJ26" s="77">
        <v>0</v>
      </c>
      <c r="AK26" s="79">
        <v>0.11</v>
      </c>
      <c r="AL26" s="79">
        <v>3.5000000000000003E-2</v>
      </c>
      <c r="AM26" s="80" t="str">
        <f t="shared" si="0"/>
        <v>01.07000,11</v>
      </c>
      <c r="AN26" t="str">
        <f t="shared" si="1"/>
        <v>01.07000,035</v>
      </c>
    </row>
    <row r="27" spans="2:40" ht="18" customHeight="1">
      <c r="B27" s="71">
        <v>22</v>
      </c>
      <c r="C27" s="81" t="s">
        <v>166</v>
      </c>
      <c r="D27" s="71" t="s">
        <v>857</v>
      </c>
      <c r="E27" s="82" t="s">
        <v>168</v>
      </c>
      <c r="F27" s="85" t="s">
        <v>858</v>
      </c>
      <c r="G27" s="74">
        <v>0.05</v>
      </c>
      <c r="H27" s="74" t="s">
        <v>824</v>
      </c>
      <c r="I27" s="74">
        <v>0.02</v>
      </c>
      <c r="J27" s="75" t="s">
        <v>824</v>
      </c>
      <c r="K27" s="75"/>
      <c r="L27" s="75"/>
      <c r="M27" s="75"/>
      <c r="N27" s="75"/>
      <c r="O27" s="75"/>
      <c r="P27" s="75"/>
      <c r="Q27" s="75"/>
      <c r="R27" s="75"/>
      <c r="S27" s="75"/>
      <c r="T27" s="75"/>
      <c r="U27" s="75"/>
      <c r="V27" s="75"/>
      <c r="W27" s="74">
        <v>0.05</v>
      </c>
      <c r="X27" s="75" t="s">
        <v>849</v>
      </c>
      <c r="Y27" s="74">
        <v>0.05</v>
      </c>
      <c r="Z27" s="75"/>
      <c r="AA27" s="74">
        <v>2.9000000000000001E-2</v>
      </c>
      <c r="AB27" s="75" t="s">
        <v>824</v>
      </c>
      <c r="AC27" s="76">
        <v>0.02</v>
      </c>
      <c r="AD27" s="76" t="s">
        <v>824</v>
      </c>
      <c r="AE27" s="76">
        <v>0.02</v>
      </c>
      <c r="AF27" s="75" t="s">
        <v>824</v>
      </c>
      <c r="AG27" s="79">
        <v>0</v>
      </c>
      <c r="AH27" s="79">
        <v>0</v>
      </c>
      <c r="AI27" s="79">
        <v>4.65E-2</v>
      </c>
      <c r="AJ27" s="78">
        <v>5952</v>
      </c>
      <c r="AK27" s="79">
        <v>0.11</v>
      </c>
      <c r="AL27" s="79">
        <v>3.5000000000000003E-2</v>
      </c>
      <c r="AM27" s="80" t="str">
        <f t="shared" si="0"/>
        <v>01.0700,04650,11</v>
      </c>
      <c r="AN27" t="str">
        <f t="shared" si="1"/>
        <v>01.0700,04650,035</v>
      </c>
    </row>
    <row r="28" spans="2:40" ht="18" customHeight="1">
      <c r="B28" s="71">
        <v>23</v>
      </c>
      <c r="C28" s="81" t="s">
        <v>170</v>
      </c>
      <c r="D28" s="71" t="s">
        <v>859</v>
      </c>
      <c r="E28" s="82" t="s">
        <v>172</v>
      </c>
      <c r="F28" s="85" t="s">
        <v>838</v>
      </c>
      <c r="G28" s="74">
        <v>0.05</v>
      </c>
      <c r="H28" s="74" t="s">
        <v>824</v>
      </c>
      <c r="I28" s="74">
        <v>0.02</v>
      </c>
      <c r="J28" s="75" t="s">
        <v>824</v>
      </c>
      <c r="K28" s="79"/>
      <c r="L28" s="79"/>
      <c r="M28" s="78"/>
      <c r="N28" s="78"/>
      <c r="O28" s="86" t="s">
        <v>825</v>
      </c>
      <c r="P28" s="86"/>
      <c r="Q28" s="79" t="s">
        <v>825</v>
      </c>
      <c r="R28" s="87"/>
      <c r="S28" s="80"/>
      <c r="T28" s="80"/>
      <c r="U28"/>
      <c r="W28" s="74">
        <v>0.05</v>
      </c>
      <c r="X28" s="75" t="s">
        <v>824</v>
      </c>
      <c r="Y28" s="74">
        <v>0.05</v>
      </c>
      <c r="AA28" s="74">
        <v>2.9000000000000001E-2</v>
      </c>
      <c r="AB28" s="75" t="s">
        <v>824</v>
      </c>
      <c r="AC28" s="76">
        <v>0.02</v>
      </c>
      <c r="AD28" s="76" t="s">
        <v>824</v>
      </c>
      <c r="AE28" s="76">
        <v>0.02</v>
      </c>
      <c r="AF28" s="75" t="s">
        <v>824</v>
      </c>
      <c r="AG28" s="79">
        <v>1.4999999999999999E-2</v>
      </c>
      <c r="AH28" s="78">
        <v>1708</v>
      </c>
      <c r="AI28" s="79">
        <v>4.65E-2</v>
      </c>
      <c r="AJ28" s="88">
        <v>5952</v>
      </c>
      <c r="AK28" s="79">
        <v>0</v>
      </c>
      <c r="AL28" s="79">
        <v>0</v>
      </c>
      <c r="AM28" s="80" t="str">
        <f t="shared" si="0"/>
        <v>01.080,0150,04650</v>
      </c>
      <c r="AN28" t="str">
        <f t="shared" si="1"/>
        <v>01.080,0150,04650</v>
      </c>
    </row>
    <row r="29" spans="2:40" ht="18" customHeight="1">
      <c r="B29" s="71">
        <v>24</v>
      </c>
      <c r="C29" s="81" t="s">
        <v>170</v>
      </c>
      <c r="D29" s="71" t="s">
        <v>860</v>
      </c>
      <c r="E29" s="82" t="s">
        <v>172</v>
      </c>
      <c r="F29" s="85" t="s">
        <v>840</v>
      </c>
      <c r="G29" s="74">
        <v>0.05</v>
      </c>
      <c r="H29" s="74" t="s">
        <v>824</v>
      </c>
      <c r="I29" s="74">
        <v>0.02</v>
      </c>
      <c r="J29" s="75" t="s">
        <v>824</v>
      </c>
      <c r="K29" s="75"/>
      <c r="L29" s="75"/>
      <c r="M29" s="75"/>
      <c r="N29" s="75"/>
      <c r="O29" s="75"/>
      <c r="P29" s="75"/>
      <c r="Q29" s="75"/>
      <c r="R29" s="75"/>
      <c r="S29" s="75"/>
      <c r="T29" s="75"/>
      <c r="U29" s="75"/>
      <c r="V29" s="75"/>
      <c r="W29" s="74">
        <v>0.05</v>
      </c>
      <c r="X29" s="75" t="s">
        <v>824</v>
      </c>
      <c r="Y29" s="74">
        <v>0.05</v>
      </c>
      <c r="Z29" s="75"/>
      <c r="AA29" s="74">
        <v>2.9000000000000001E-2</v>
      </c>
      <c r="AB29" s="75" t="s">
        <v>824</v>
      </c>
      <c r="AC29" s="76">
        <v>0.02</v>
      </c>
      <c r="AD29" s="76" t="s">
        <v>824</v>
      </c>
      <c r="AE29" s="76">
        <v>0.02</v>
      </c>
      <c r="AF29" s="75" t="s">
        <v>824</v>
      </c>
      <c r="AG29" s="79">
        <v>1.4999999999999999E-2</v>
      </c>
      <c r="AH29" s="78">
        <v>1708</v>
      </c>
      <c r="AI29" s="79">
        <v>4.65E-2</v>
      </c>
      <c r="AJ29" s="77">
        <v>59.52</v>
      </c>
      <c r="AK29" s="79">
        <v>0.11</v>
      </c>
      <c r="AL29" s="79">
        <v>3.5000000000000003E-2</v>
      </c>
      <c r="AM29" s="80" t="str">
        <f t="shared" si="0"/>
        <v>01.080,0150,04650,11</v>
      </c>
      <c r="AN29" t="str">
        <f t="shared" si="1"/>
        <v>01.080,0150,04650,035</v>
      </c>
    </row>
    <row r="30" spans="2:40" ht="18" customHeight="1">
      <c r="B30" s="71">
        <v>25</v>
      </c>
      <c r="C30" s="81" t="s">
        <v>174</v>
      </c>
      <c r="D30" s="71" t="s">
        <v>861</v>
      </c>
      <c r="E30" s="82" t="s">
        <v>862</v>
      </c>
      <c r="F30" s="85" t="s">
        <v>838</v>
      </c>
      <c r="G30" s="74">
        <v>0.05</v>
      </c>
      <c r="H30" s="74" t="s">
        <v>824</v>
      </c>
      <c r="I30" s="74">
        <v>0.02</v>
      </c>
      <c r="J30" s="75" t="s">
        <v>824</v>
      </c>
      <c r="K30" s="75"/>
      <c r="L30" s="75"/>
      <c r="M30" s="75"/>
      <c r="N30" s="75"/>
      <c r="O30" s="75"/>
      <c r="P30" s="75"/>
      <c r="Q30" s="75"/>
      <c r="R30" s="75"/>
      <c r="S30" s="75"/>
      <c r="T30" s="75"/>
      <c r="U30" s="75"/>
      <c r="V30" s="75"/>
      <c r="W30" s="74">
        <v>0.05</v>
      </c>
      <c r="X30" s="75" t="s">
        <v>824</v>
      </c>
      <c r="Y30" s="74">
        <v>0.02</v>
      </c>
      <c r="Z30" s="75"/>
      <c r="AA30" s="74">
        <v>2.9000000000000001E-2</v>
      </c>
      <c r="AB30" s="75" t="s">
        <v>824</v>
      </c>
      <c r="AC30" s="76">
        <v>0.02</v>
      </c>
      <c r="AD30" s="76" t="s">
        <v>824</v>
      </c>
      <c r="AE30" s="76">
        <v>0.02</v>
      </c>
      <c r="AF30" s="75" t="s">
        <v>824</v>
      </c>
      <c r="AG30" s="79">
        <v>0</v>
      </c>
      <c r="AH30" s="78">
        <v>0</v>
      </c>
      <c r="AI30" s="79">
        <v>0</v>
      </c>
      <c r="AJ30" s="78">
        <v>0</v>
      </c>
      <c r="AK30" s="79">
        <v>0</v>
      </c>
      <c r="AL30" s="79">
        <v>0</v>
      </c>
      <c r="AM30" s="80" t="str">
        <f t="shared" si="0"/>
        <v>01.09000</v>
      </c>
      <c r="AN30" t="str">
        <f t="shared" si="1"/>
        <v>01.09000</v>
      </c>
    </row>
    <row r="31" spans="2:40" ht="18" customHeight="1">
      <c r="B31" s="71">
        <v>26</v>
      </c>
      <c r="C31" s="81" t="s">
        <v>178</v>
      </c>
      <c r="D31" s="71" t="s">
        <v>863</v>
      </c>
      <c r="E31" s="82" t="s">
        <v>180</v>
      </c>
      <c r="F31" s="85" t="s">
        <v>838</v>
      </c>
      <c r="G31" s="74">
        <v>0.05</v>
      </c>
      <c r="H31" s="74" t="s">
        <v>824</v>
      </c>
      <c r="I31" s="74">
        <v>0.02</v>
      </c>
      <c r="J31" s="75" t="s">
        <v>824</v>
      </c>
      <c r="K31" s="79"/>
      <c r="L31" s="79"/>
      <c r="M31" s="78"/>
      <c r="N31" s="78"/>
      <c r="O31" s="86" t="s">
        <v>825</v>
      </c>
      <c r="P31" s="86"/>
      <c r="Q31" s="79" t="s">
        <v>825</v>
      </c>
      <c r="R31" s="87"/>
      <c r="S31" s="80"/>
      <c r="T31" s="80"/>
      <c r="U31"/>
      <c r="W31" s="74">
        <v>0.05</v>
      </c>
      <c r="X31" s="75" t="s">
        <v>824</v>
      </c>
      <c r="Y31" s="74">
        <v>0.05</v>
      </c>
      <c r="AA31" s="74">
        <v>0.02</v>
      </c>
      <c r="AB31" s="75" t="s">
        <v>824</v>
      </c>
      <c r="AC31" s="76">
        <v>0.05</v>
      </c>
      <c r="AD31" s="76" t="s">
        <v>824</v>
      </c>
      <c r="AE31" s="76">
        <v>0.02</v>
      </c>
      <c r="AF31" s="75" t="s">
        <v>824</v>
      </c>
      <c r="AG31" s="79">
        <v>1.4999999999999999E-2</v>
      </c>
      <c r="AH31" s="78">
        <v>1708</v>
      </c>
      <c r="AI31" s="79">
        <v>4.65E-2</v>
      </c>
      <c r="AJ31" s="78">
        <v>5952</v>
      </c>
      <c r="AK31" s="79">
        <v>0</v>
      </c>
      <c r="AL31" s="79">
        <v>0</v>
      </c>
      <c r="AM31" s="80" t="str">
        <f t="shared" si="0"/>
        <v>02.010,0150,04650</v>
      </c>
      <c r="AN31" t="str">
        <f t="shared" si="1"/>
        <v>02.010,0150,04650</v>
      </c>
    </row>
    <row r="32" spans="2:40" ht="18" customHeight="1">
      <c r="B32" s="71">
        <v>27</v>
      </c>
      <c r="C32" s="81" t="s">
        <v>178</v>
      </c>
      <c r="D32" s="71" t="s">
        <v>864</v>
      </c>
      <c r="E32" s="82" t="s">
        <v>180</v>
      </c>
      <c r="F32" s="85" t="s">
        <v>865</v>
      </c>
      <c r="G32" s="74">
        <v>0.05</v>
      </c>
      <c r="H32" s="74" t="s">
        <v>824</v>
      </c>
      <c r="I32" s="74">
        <v>0.02</v>
      </c>
      <c r="J32" s="75" t="s">
        <v>824</v>
      </c>
      <c r="K32" s="75"/>
      <c r="L32" s="75"/>
      <c r="M32" s="75"/>
      <c r="N32" s="75"/>
      <c r="O32" s="75"/>
      <c r="P32" s="75"/>
      <c r="Q32" s="75"/>
      <c r="R32" s="75"/>
      <c r="S32" s="75"/>
      <c r="T32" s="75"/>
      <c r="U32" s="75"/>
      <c r="V32" s="75"/>
      <c r="W32" s="74">
        <v>0.05</v>
      </c>
      <c r="X32" s="75" t="s">
        <v>824</v>
      </c>
      <c r="Y32" s="74">
        <v>0.05</v>
      </c>
      <c r="Z32" s="75"/>
      <c r="AA32" s="74">
        <v>0.02</v>
      </c>
      <c r="AB32" s="75" t="s">
        <v>824</v>
      </c>
      <c r="AC32" s="76">
        <v>0.05</v>
      </c>
      <c r="AD32" s="76" t="s">
        <v>824</v>
      </c>
      <c r="AE32" s="76">
        <v>0.02</v>
      </c>
      <c r="AF32" s="75" t="s">
        <v>824</v>
      </c>
      <c r="AG32" s="79">
        <v>0</v>
      </c>
      <c r="AH32" s="78">
        <v>0</v>
      </c>
      <c r="AI32" s="79">
        <v>0</v>
      </c>
      <c r="AJ32" s="78">
        <v>0</v>
      </c>
      <c r="AK32" s="79">
        <v>0</v>
      </c>
      <c r="AL32" s="79">
        <v>0</v>
      </c>
      <c r="AM32" s="80" t="str">
        <f t="shared" si="0"/>
        <v>02.01000</v>
      </c>
      <c r="AN32" t="str">
        <f t="shared" si="1"/>
        <v>02.01000</v>
      </c>
    </row>
    <row r="33" spans="2:40" ht="18" customHeight="1">
      <c r="B33" s="71">
        <v>28</v>
      </c>
      <c r="C33" s="81" t="s">
        <v>182</v>
      </c>
      <c r="D33" s="71" t="s">
        <v>866</v>
      </c>
      <c r="E33" s="82" t="s">
        <v>184</v>
      </c>
      <c r="F33" s="85" t="s">
        <v>838</v>
      </c>
      <c r="G33" s="74">
        <v>0.05</v>
      </c>
      <c r="H33" s="74" t="s">
        <v>824</v>
      </c>
      <c r="I33" s="74">
        <v>0.03</v>
      </c>
      <c r="J33" s="75" t="s">
        <v>824</v>
      </c>
      <c r="K33" s="75"/>
      <c r="L33" s="75"/>
      <c r="M33" s="75"/>
      <c r="N33" s="75"/>
      <c r="O33" s="75"/>
      <c r="P33" s="75"/>
      <c r="Q33" s="75"/>
      <c r="R33" s="75"/>
      <c r="S33" s="75"/>
      <c r="T33" s="75"/>
      <c r="U33" s="75"/>
      <c r="V33" s="75"/>
      <c r="W33" s="74">
        <v>0.05</v>
      </c>
      <c r="X33" s="75" t="s">
        <v>824</v>
      </c>
      <c r="Y33" s="74">
        <v>0.05</v>
      </c>
      <c r="Z33" s="75"/>
      <c r="AA33" s="74">
        <v>0.05</v>
      </c>
      <c r="AB33" s="75" t="s">
        <v>824</v>
      </c>
      <c r="AC33" s="76">
        <v>0.02</v>
      </c>
      <c r="AD33" s="76" t="s">
        <v>824</v>
      </c>
      <c r="AE33" s="76">
        <v>0.02</v>
      </c>
      <c r="AF33" s="75" t="s">
        <v>824</v>
      </c>
      <c r="AG33" s="79">
        <v>0</v>
      </c>
      <c r="AH33" s="77">
        <v>0</v>
      </c>
      <c r="AI33" s="79">
        <v>0</v>
      </c>
      <c r="AJ33" s="77">
        <v>0</v>
      </c>
      <c r="AK33" s="79">
        <v>0</v>
      </c>
      <c r="AL33" s="79">
        <v>0</v>
      </c>
      <c r="AM33" s="80" t="str">
        <f t="shared" si="0"/>
        <v>03.02000</v>
      </c>
      <c r="AN33" t="str">
        <f t="shared" si="1"/>
        <v>03.02000</v>
      </c>
    </row>
    <row r="34" spans="2:40" ht="18" customHeight="1">
      <c r="B34" s="71">
        <v>29</v>
      </c>
      <c r="C34" s="81" t="s">
        <v>186</v>
      </c>
      <c r="D34" s="71" t="s">
        <v>867</v>
      </c>
      <c r="E34" s="82" t="s">
        <v>188</v>
      </c>
      <c r="F34" s="85" t="s">
        <v>838</v>
      </c>
      <c r="G34" s="74">
        <v>0.05</v>
      </c>
      <c r="H34" s="74" t="s">
        <v>824</v>
      </c>
      <c r="I34" s="74">
        <v>0.03</v>
      </c>
      <c r="J34" s="75" t="s">
        <v>824</v>
      </c>
      <c r="K34" s="75"/>
      <c r="L34" s="75"/>
      <c r="M34" s="75"/>
      <c r="N34" s="75"/>
      <c r="O34" s="75"/>
      <c r="P34" s="75"/>
      <c r="Q34" s="75"/>
      <c r="R34" s="75"/>
      <c r="S34" s="75"/>
      <c r="T34" s="75"/>
      <c r="U34" s="75"/>
      <c r="V34" s="75"/>
      <c r="W34" s="74">
        <v>0.05</v>
      </c>
      <c r="X34" s="75" t="s">
        <v>824</v>
      </c>
      <c r="Y34" s="74">
        <v>0.05</v>
      </c>
      <c r="Z34" s="75"/>
      <c r="AA34" s="74">
        <v>0.05</v>
      </c>
      <c r="AB34" s="75" t="s">
        <v>824</v>
      </c>
      <c r="AC34" s="76">
        <v>0.05</v>
      </c>
      <c r="AD34" s="76" t="s">
        <v>824</v>
      </c>
      <c r="AE34" s="76">
        <v>0.02</v>
      </c>
      <c r="AF34" s="75" t="s">
        <v>824</v>
      </c>
      <c r="AG34" s="79">
        <v>0</v>
      </c>
      <c r="AH34" s="77">
        <v>0</v>
      </c>
      <c r="AI34" s="79">
        <v>0</v>
      </c>
      <c r="AJ34" s="77">
        <v>0</v>
      </c>
      <c r="AK34" s="79">
        <v>0</v>
      </c>
      <c r="AL34" s="79">
        <v>0</v>
      </c>
      <c r="AM34" s="80" t="str">
        <f t="shared" si="0"/>
        <v>03.03000</v>
      </c>
      <c r="AN34" t="str">
        <f t="shared" si="1"/>
        <v>03.03000</v>
      </c>
    </row>
    <row r="35" spans="2:40" ht="18" customHeight="1">
      <c r="B35" s="71">
        <v>30</v>
      </c>
      <c r="C35" s="81" t="s">
        <v>190</v>
      </c>
      <c r="D35" s="71" t="s">
        <v>868</v>
      </c>
      <c r="E35" s="82" t="s">
        <v>192</v>
      </c>
      <c r="F35" s="85" t="s">
        <v>838</v>
      </c>
      <c r="G35" s="74">
        <v>0.05</v>
      </c>
      <c r="H35" s="74" t="s">
        <v>824</v>
      </c>
      <c r="I35" s="74">
        <v>0.03</v>
      </c>
      <c r="J35" s="75" t="s">
        <v>849</v>
      </c>
      <c r="K35" s="77"/>
      <c r="L35" s="77"/>
      <c r="M35" s="77"/>
      <c r="N35" s="77"/>
      <c r="O35" s="86" t="s">
        <v>825</v>
      </c>
      <c r="P35" s="86"/>
      <c r="Q35" s="79" t="s">
        <v>825</v>
      </c>
      <c r="R35" s="87"/>
      <c r="U35"/>
      <c r="W35" s="74">
        <v>0.05</v>
      </c>
      <c r="X35" s="75" t="s">
        <v>824</v>
      </c>
      <c r="Y35" s="74">
        <v>0.05</v>
      </c>
      <c r="AA35" s="74">
        <v>0.05</v>
      </c>
      <c r="AB35" s="75" t="s">
        <v>824</v>
      </c>
      <c r="AC35" s="76">
        <v>0.05</v>
      </c>
      <c r="AD35" s="76" t="s">
        <v>824</v>
      </c>
      <c r="AE35" s="76">
        <v>0.02</v>
      </c>
      <c r="AF35" s="75" t="s">
        <v>824</v>
      </c>
      <c r="AG35" s="79">
        <v>0</v>
      </c>
      <c r="AH35" s="77">
        <v>0</v>
      </c>
      <c r="AI35" s="79">
        <v>0</v>
      </c>
      <c r="AJ35" s="77">
        <v>0</v>
      </c>
      <c r="AK35" s="79">
        <v>0</v>
      </c>
      <c r="AL35" s="79">
        <v>0</v>
      </c>
      <c r="AM35" s="80" t="str">
        <f t="shared" si="0"/>
        <v>03.04000</v>
      </c>
      <c r="AN35" t="str">
        <f t="shared" si="1"/>
        <v>03.04000</v>
      </c>
    </row>
    <row r="36" spans="2:40" ht="18" customHeight="1">
      <c r="B36" s="71">
        <v>31</v>
      </c>
      <c r="C36" s="81" t="s">
        <v>194</v>
      </c>
      <c r="D36" s="71" t="s">
        <v>869</v>
      </c>
      <c r="E36" s="82" t="s">
        <v>195</v>
      </c>
      <c r="F36" s="85" t="s">
        <v>838</v>
      </c>
      <c r="G36" s="74">
        <v>0.05</v>
      </c>
      <c r="H36" s="77" t="s">
        <v>849</v>
      </c>
      <c r="I36" s="74">
        <v>0.05</v>
      </c>
      <c r="J36" s="75" t="s">
        <v>849</v>
      </c>
      <c r="K36" s="79"/>
      <c r="L36" s="79"/>
      <c r="M36" s="78"/>
      <c r="N36" s="78" t="s">
        <v>870</v>
      </c>
      <c r="O36" s="86" t="s">
        <v>825</v>
      </c>
      <c r="P36" s="86"/>
      <c r="Q36" s="79" t="s">
        <v>825</v>
      </c>
      <c r="R36" s="87"/>
      <c r="S36" s="80"/>
      <c r="T36" s="80"/>
      <c r="U36"/>
      <c r="W36" s="74">
        <v>0.05</v>
      </c>
      <c r="X36" s="75" t="s">
        <v>824</v>
      </c>
      <c r="Y36" s="74">
        <v>0.05</v>
      </c>
      <c r="AA36" s="74">
        <v>0.05</v>
      </c>
      <c r="AB36" s="75" t="s">
        <v>849</v>
      </c>
      <c r="AC36" s="76">
        <v>0.05</v>
      </c>
      <c r="AD36" s="89" t="s">
        <v>849</v>
      </c>
      <c r="AE36" s="76">
        <v>0.02</v>
      </c>
      <c r="AF36" s="75" t="s">
        <v>870</v>
      </c>
      <c r="AG36" s="79">
        <v>0</v>
      </c>
      <c r="AH36" s="77">
        <v>0</v>
      </c>
      <c r="AI36" s="79">
        <v>0</v>
      </c>
      <c r="AJ36" s="77">
        <v>0</v>
      </c>
      <c r="AK36" s="79">
        <v>0</v>
      </c>
      <c r="AL36" s="79">
        <v>0</v>
      </c>
      <c r="AM36" s="80" t="str">
        <f t="shared" si="0"/>
        <v>03.05000</v>
      </c>
      <c r="AN36" t="str">
        <f t="shared" si="1"/>
        <v>03.05000</v>
      </c>
    </row>
    <row r="37" spans="2:40" ht="18" customHeight="1">
      <c r="B37" s="71">
        <v>32</v>
      </c>
      <c r="C37" s="81" t="s">
        <v>194</v>
      </c>
      <c r="D37" s="71" t="s">
        <v>871</v>
      </c>
      <c r="E37" s="82" t="s">
        <v>195</v>
      </c>
      <c r="F37" s="85" t="s">
        <v>840</v>
      </c>
      <c r="G37" s="74">
        <v>0.05</v>
      </c>
      <c r="H37" s="74" t="s">
        <v>870</v>
      </c>
      <c r="I37" s="74">
        <v>0.05</v>
      </c>
      <c r="J37" s="75" t="s">
        <v>849</v>
      </c>
      <c r="K37" s="74"/>
      <c r="L37" s="74"/>
      <c r="M37" s="74"/>
      <c r="N37" s="74" t="s">
        <v>870</v>
      </c>
      <c r="O37" s="74"/>
      <c r="P37" s="74"/>
      <c r="Q37" s="74"/>
      <c r="R37" s="74"/>
      <c r="S37" s="74"/>
      <c r="T37" s="74"/>
      <c r="U37" s="74"/>
      <c r="V37" s="74"/>
      <c r="W37" s="74">
        <v>0.05</v>
      </c>
      <c r="X37" s="75" t="s">
        <v>824</v>
      </c>
      <c r="Y37" s="74">
        <v>0.05</v>
      </c>
      <c r="Z37" s="74"/>
      <c r="AA37" s="74">
        <v>0.05</v>
      </c>
      <c r="AB37" s="75" t="s">
        <v>849</v>
      </c>
      <c r="AC37" s="76">
        <v>0.05</v>
      </c>
      <c r="AD37" s="89" t="s">
        <v>849</v>
      </c>
      <c r="AE37" s="76">
        <v>0.02</v>
      </c>
      <c r="AF37" s="75" t="s">
        <v>870</v>
      </c>
      <c r="AG37" s="79">
        <v>0</v>
      </c>
      <c r="AH37" s="77">
        <v>0</v>
      </c>
      <c r="AI37" s="79">
        <v>0</v>
      </c>
      <c r="AJ37" s="77">
        <v>0</v>
      </c>
      <c r="AK37" s="79">
        <v>0.11</v>
      </c>
      <c r="AL37" s="79">
        <v>3.5000000000000003E-2</v>
      </c>
      <c r="AM37" s="80" t="str">
        <f t="shared" si="0"/>
        <v>03.05000,11</v>
      </c>
      <c r="AN37" t="str">
        <f t="shared" si="1"/>
        <v>03.05000,035</v>
      </c>
    </row>
    <row r="38" spans="2:40" ht="18" customHeight="1">
      <c r="B38" s="71">
        <v>33</v>
      </c>
      <c r="C38" s="81" t="s">
        <v>197</v>
      </c>
      <c r="D38" s="71" t="s">
        <v>872</v>
      </c>
      <c r="E38" s="82" t="s">
        <v>198</v>
      </c>
      <c r="F38" s="85" t="s">
        <v>838</v>
      </c>
      <c r="G38" s="74">
        <v>0.05</v>
      </c>
      <c r="H38" s="74" t="s">
        <v>824</v>
      </c>
      <c r="I38" s="74">
        <v>0.02</v>
      </c>
      <c r="J38" s="75" t="s">
        <v>824</v>
      </c>
      <c r="K38" s="79"/>
      <c r="L38" s="79"/>
      <c r="M38" s="78"/>
      <c r="N38" s="78"/>
      <c r="O38" s="86" t="s">
        <v>825</v>
      </c>
      <c r="P38" s="86"/>
      <c r="Q38" s="79" t="s">
        <v>825</v>
      </c>
      <c r="R38" s="87"/>
      <c r="S38" s="80"/>
      <c r="T38" s="80"/>
      <c r="U38"/>
      <c r="W38" s="74">
        <v>0.05</v>
      </c>
      <c r="X38" s="75" t="s">
        <v>824</v>
      </c>
      <c r="Y38" s="74">
        <v>0.05</v>
      </c>
      <c r="AA38" s="74">
        <v>0.02</v>
      </c>
      <c r="AB38" s="75" t="s">
        <v>824</v>
      </c>
      <c r="AC38" s="76">
        <v>0.02</v>
      </c>
      <c r="AD38" s="76" t="s">
        <v>824</v>
      </c>
      <c r="AE38" s="76">
        <v>0.02</v>
      </c>
      <c r="AF38" s="75" t="s">
        <v>824</v>
      </c>
      <c r="AG38" s="79">
        <v>1.4999999999999999E-2</v>
      </c>
      <c r="AH38" s="78">
        <v>1708</v>
      </c>
      <c r="AI38" s="79">
        <v>4.65E-2</v>
      </c>
      <c r="AJ38" s="78">
        <v>5952</v>
      </c>
      <c r="AK38" s="108">
        <v>0</v>
      </c>
      <c r="AL38" s="108">
        <v>0</v>
      </c>
      <c r="AM38" s="80" t="str">
        <f t="shared" si="0"/>
        <v>04.010,0150,04650</v>
      </c>
      <c r="AN38" t="str">
        <f t="shared" si="1"/>
        <v>04.010,0150,04650</v>
      </c>
    </row>
    <row r="39" spans="2:40" ht="18" customHeight="1">
      <c r="B39" s="71">
        <v>34</v>
      </c>
      <c r="C39" s="81" t="s">
        <v>197</v>
      </c>
      <c r="D39" s="71" t="s">
        <v>873</v>
      </c>
      <c r="E39" s="82" t="s">
        <v>198</v>
      </c>
      <c r="F39" s="85" t="s">
        <v>840</v>
      </c>
      <c r="G39" s="74">
        <v>0.05</v>
      </c>
      <c r="H39" s="74" t="s">
        <v>824</v>
      </c>
      <c r="I39" s="74">
        <v>0.02</v>
      </c>
      <c r="J39" s="75" t="s">
        <v>824</v>
      </c>
      <c r="K39" s="75"/>
      <c r="L39" s="75"/>
      <c r="M39" s="75"/>
      <c r="N39" s="75"/>
      <c r="O39" s="75"/>
      <c r="P39" s="75"/>
      <c r="Q39" s="75"/>
      <c r="R39" s="75"/>
      <c r="S39" s="75"/>
      <c r="T39" s="75"/>
      <c r="U39" s="75"/>
      <c r="V39" s="75"/>
      <c r="W39" s="74">
        <v>0.05</v>
      </c>
      <c r="X39" s="75" t="s">
        <v>824</v>
      </c>
      <c r="Y39" s="74">
        <v>0.05</v>
      </c>
      <c r="Z39" s="75"/>
      <c r="AA39" s="74">
        <v>0.02</v>
      </c>
      <c r="AB39" s="75" t="s">
        <v>824</v>
      </c>
      <c r="AC39" s="76">
        <v>0.02</v>
      </c>
      <c r="AD39" s="76" t="s">
        <v>824</v>
      </c>
      <c r="AE39" s="76">
        <v>0.02</v>
      </c>
      <c r="AF39" s="75" t="s">
        <v>824</v>
      </c>
      <c r="AG39" s="79">
        <v>1.4999999999999999E-2</v>
      </c>
      <c r="AH39" s="78">
        <v>1708</v>
      </c>
      <c r="AI39" s="79">
        <v>4.65E-2</v>
      </c>
      <c r="AJ39" s="78">
        <v>5952</v>
      </c>
      <c r="AK39" s="79">
        <v>0.11</v>
      </c>
      <c r="AL39" s="79">
        <v>3.5000000000000003E-2</v>
      </c>
      <c r="AM39" s="80" t="str">
        <f t="shared" si="0"/>
        <v>04.010,0150,04650,11</v>
      </c>
      <c r="AN39" t="str">
        <f t="shared" si="1"/>
        <v>04.010,0150,04650,035</v>
      </c>
    </row>
    <row r="40" spans="2:40" ht="18" customHeight="1">
      <c r="B40" s="71">
        <v>35</v>
      </c>
      <c r="C40" s="81" t="s">
        <v>200</v>
      </c>
      <c r="D40" s="71" t="s">
        <v>874</v>
      </c>
      <c r="E40" s="82" t="s">
        <v>875</v>
      </c>
      <c r="F40" s="85" t="s">
        <v>838</v>
      </c>
      <c r="G40" s="74">
        <v>0.05</v>
      </c>
      <c r="H40" s="74" t="s">
        <v>824</v>
      </c>
      <c r="I40" s="74">
        <v>0.02</v>
      </c>
      <c r="J40" s="75" t="s">
        <v>824</v>
      </c>
      <c r="K40" s="79"/>
      <c r="L40" s="79"/>
      <c r="M40" s="78"/>
      <c r="N40" s="78"/>
      <c r="O40" s="86" t="s">
        <v>825</v>
      </c>
      <c r="P40" s="86"/>
      <c r="Q40" s="79" t="s">
        <v>825</v>
      </c>
      <c r="R40" s="87"/>
      <c r="S40" s="80"/>
      <c r="T40" s="80"/>
      <c r="U40"/>
      <c r="W40" s="74">
        <v>0.05</v>
      </c>
      <c r="X40" s="75" t="s">
        <v>849</v>
      </c>
      <c r="Y40" s="74">
        <v>0.05</v>
      </c>
      <c r="AA40" s="74">
        <v>0.02</v>
      </c>
      <c r="AB40" s="75" t="s">
        <v>824</v>
      </c>
      <c r="AC40" s="76">
        <v>0.02</v>
      </c>
      <c r="AD40" s="76" t="s">
        <v>824</v>
      </c>
      <c r="AE40" s="76">
        <v>0.03</v>
      </c>
      <c r="AF40" s="75" t="s">
        <v>824</v>
      </c>
      <c r="AG40" s="79">
        <v>1.4999999999999999E-2</v>
      </c>
      <c r="AH40" s="43">
        <v>1708</v>
      </c>
      <c r="AI40" s="79">
        <v>4.65E-2</v>
      </c>
      <c r="AJ40" s="43">
        <v>5952</v>
      </c>
      <c r="AK40" s="79">
        <v>0</v>
      </c>
      <c r="AL40" s="79">
        <v>0</v>
      </c>
      <c r="AM40" s="80" t="str">
        <f t="shared" si="0"/>
        <v>04.020,0150,04650</v>
      </c>
      <c r="AN40" t="str">
        <f t="shared" si="1"/>
        <v>04.020,0150,04650</v>
      </c>
    </row>
    <row r="41" spans="2:40" ht="18" customHeight="1">
      <c r="B41" s="71">
        <v>36</v>
      </c>
      <c r="C41" s="81" t="s">
        <v>200</v>
      </c>
      <c r="D41" s="71" t="s">
        <v>876</v>
      </c>
      <c r="E41" s="82" t="s">
        <v>875</v>
      </c>
      <c r="F41" s="85" t="s">
        <v>840</v>
      </c>
      <c r="G41" s="74">
        <v>0.05</v>
      </c>
      <c r="H41" s="74" t="s">
        <v>824</v>
      </c>
      <c r="I41" s="74">
        <v>0.02</v>
      </c>
      <c r="J41" s="75" t="s">
        <v>824</v>
      </c>
      <c r="K41" s="75"/>
      <c r="L41" s="75"/>
      <c r="M41" s="75"/>
      <c r="N41" s="75"/>
      <c r="O41" s="75"/>
      <c r="P41" s="75"/>
      <c r="Q41" s="75"/>
      <c r="R41" s="75"/>
      <c r="S41" s="75"/>
      <c r="T41" s="75"/>
      <c r="U41" s="75"/>
      <c r="V41" s="75"/>
      <c r="W41" s="74">
        <v>0.05</v>
      </c>
      <c r="X41" s="75" t="s">
        <v>849</v>
      </c>
      <c r="Y41" s="74">
        <v>0.05</v>
      </c>
      <c r="Z41" s="75"/>
      <c r="AA41" s="74">
        <v>0.02</v>
      </c>
      <c r="AB41" s="75" t="s">
        <v>824</v>
      </c>
      <c r="AC41" s="76">
        <v>0.02</v>
      </c>
      <c r="AD41" s="76" t="s">
        <v>824</v>
      </c>
      <c r="AE41" s="76">
        <v>0.03</v>
      </c>
      <c r="AF41" s="75" t="s">
        <v>824</v>
      </c>
      <c r="AG41" s="79">
        <v>1.4999999999999999E-2</v>
      </c>
      <c r="AH41" s="78">
        <v>1708</v>
      </c>
      <c r="AI41" s="79">
        <v>4.65E-2</v>
      </c>
      <c r="AJ41" s="78">
        <v>5952</v>
      </c>
      <c r="AK41" s="79">
        <v>0.11</v>
      </c>
      <c r="AL41" s="79">
        <v>3.5000000000000003E-2</v>
      </c>
      <c r="AM41" s="80" t="str">
        <f t="shared" si="0"/>
        <v>04.020,0150,04650,11</v>
      </c>
      <c r="AN41" t="str">
        <f t="shared" si="1"/>
        <v>04.020,0150,04650,035</v>
      </c>
    </row>
    <row r="42" spans="2:40" ht="18" customHeight="1">
      <c r="B42" s="71">
        <v>37</v>
      </c>
      <c r="C42" s="81" t="s">
        <v>203</v>
      </c>
      <c r="D42" s="71" t="s">
        <v>877</v>
      </c>
      <c r="E42" s="82" t="s">
        <v>878</v>
      </c>
      <c r="F42" s="85" t="s">
        <v>838</v>
      </c>
      <c r="G42" s="74">
        <v>0.05</v>
      </c>
      <c r="H42" s="74" t="s">
        <v>824</v>
      </c>
      <c r="I42" s="74">
        <v>0.02</v>
      </c>
      <c r="J42" s="75" t="s">
        <v>824</v>
      </c>
      <c r="K42" s="75"/>
      <c r="L42" s="75"/>
      <c r="M42" s="75"/>
      <c r="N42" s="75"/>
      <c r="O42" s="75"/>
      <c r="P42" s="75"/>
      <c r="Q42" s="75"/>
      <c r="R42" s="75"/>
      <c r="S42" s="75"/>
      <c r="T42" s="75"/>
      <c r="U42" s="75"/>
      <c r="V42" s="75"/>
      <c r="W42" s="74">
        <v>0.02</v>
      </c>
      <c r="X42" s="75" t="s">
        <v>849</v>
      </c>
      <c r="Y42" s="74">
        <v>0.05</v>
      </c>
      <c r="Z42" s="75"/>
      <c r="AA42" s="74">
        <v>0.02</v>
      </c>
      <c r="AB42" s="75" t="s">
        <v>824</v>
      </c>
      <c r="AC42" s="76">
        <v>0.02</v>
      </c>
      <c r="AD42" s="76" t="s">
        <v>824</v>
      </c>
      <c r="AE42" s="76">
        <v>0.03</v>
      </c>
      <c r="AF42" s="75" t="s">
        <v>824</v>
      </c>
      <c r="AG42" s="79">
        <v>1.4999999999999999E-2</v>
      </c>
      <c r="AH42" s="78">
        <v>1708</v>
      </c>
      <c r="AI42" s="79">
        <v>4.65E-2</v>
      </c>
      <c r="AJ42" s="78">
        <v>5952</v>
      </c>
      <c r="AK42" s="79">
        <v>0</v>
      </c>
      <c r="AL42" s="79">
        <v>0</v>
      </c>
      <c r="AM42" s="80" t="str">
        <f t="shared" si="0"/>
        <v>04.030,0150,04650</v>
      </c>
      <c r="AN42" t="str">
        <f t="shared" si="1"/>
        <v>04.030,0150,04650</v>
      </c>
    </row>
    <row r="43" spans="2:40" ht="18" customHeight="1">
      <c r="B43" s="71">
        <v>38</v>
      </c>
      <c r="C43" s="81" t="s">
        <v>203</v>
      </c>
      <c r="D43" s="71" t="s">
        <v>879</v>
      </c>
      <c r="E43" s="82" t="s">
        <v>878</v>
      </c>
      <c r="F43" s="85" t="s">
        <v>840</v>
      </c>
      <c r="G43" s="74">
        <v>0.05</v>
      </c>
      <c r="H43" s="74" t="s">
        <v>824</v>
      </c>
      <c r="I43" s="74">
        <v>0.02</v>
      </c>
      <c r="J43" s="75" t="s">
        <v>824</v>
      </c>
      <c r="K43" s="75"/>
      <c r="L43" s="75"/>
      <c r="M43" s="75"/>
      <c r="N43" s="75"/>
      <c r="O43" s="75"/>
      <c r="P43" s="75"/>
      <c r="Q43" s="75"/>
      <c r="R43" s="75"/>
      <c r="S43" s="75"/>
      <c r="T43" s="75"/>
      <c r="U43" s="75"/>
      <c r="V43" s="75"/>
      <c r="W43" s="74">
        <v>0.02</v>
      </c>
      <c r="X43" s="75" t="s">
        <v>849</v>
      </c>
      <c r="Y43" s="74">
        <v>0.05</v>
      </c>
      <c r="Z43" s="75"/>
      <c r="AA43" s="74">
        <v>0.02</v>
      </c>
      <c r="AB43" s="75" t="s">
        <v>824</v>
      </c>
      <c r="AC43" s="76">
        <v>0.02</v>
      </c>
      <c r="AD43" s="76" t="s">
        <v>824</v>
      </c>
      <c r="AE43" s="76">
        <v>0.03</v>
      </c>
      <c r="AF43" s="75" t="s">
        <v>824</v>
      </c>
      <c r="AG43" s="79">
        <v>1.4999999999999999E-2</v>
      </c>
      <c r="AH43" s="78">
        <v>1708</v>
      </c>
      <c r="AI43" s="79">
        <v>4.65E-2</v>
      </c>
      <c r="AJ43" s="78">
        <v>5952</v>
      </c>
      <c r="AK43" s="79">
        <v>0.11</v>
      </c>
      <c r="AL43" s="79">
        <v>3.5000000000000003E-2</v>
      </c>
      <c r="AM43" s="80" t="str">
        <f t="shared" si="0"/>
        <v>04.030,0150,04650,11</v>
      </c>
      <c r="AN43" t="str">
        <f t="shared" si="1"/>
        <v>04.030,0150,04650,035</v>
      </c>
    </row>
    <row r="44" spans="2:40" ht="18" customHeight="1">
      <c r="B44" s="71">
        <v>39</v>
      </c>
      <c r="C44" s="81" t="s">
        <v>206</v>
      </c>
      <c r="D44" s="71" t="s">
        <v>880</v>
      </c>
      <c r="E44" s="82" t="s">
        <v>207</v>
      </c>
      <c r="F44" s="85" t="s">
        <v>838</v>
      </c>
      <c r="G44" s="74">
        <v>0.05</v>
      </c>
      <c r="H44" s="74" t="s">
        <v>824</v>
      </c>
      <c r="I44" s="74">
        <v>0.02</v>
      </c>
      <c r="J44" s="75" t="s">
        <v>824</v>
      </c>
      <c r="K44" s="75"/>
      <c r="L44" s="75"/>
      <c r="M44" s="75"/>
      <c r="N44" s="75"/>
      <c r="O44" s="75"/>
      <c r="P44" s="75"/>
      <c r="Q44" s="75"/>
      <c r="R44" s="75"/>
      <c r="S44" s="75"/>
      <c r="T44" s="75"/>
      <c r="U44" s="75"/>
      <c r="V44" s="75"/>
      <c r="W44" s="74">
        <v>0.05</v>
      </c>
      <c r="X44" s="75" t="s">
        <v>824</v>
      </c>
      <c r="Y44" s="74">
        <v>0.05</v>
      </c>
      <c r="Z44" s="75"/>
      <c r="AA44" s="74">
        <v>0.02</v>
      </c>
      <c r="AB44" s="75" t="s">
        <v>824</v>
      </c>
      <c r="AC44" s="76">
        <v>0.02</v>
      </c>
      <c r="AD44" s="76" t="s">
        <v>824</v>
      </c>
      <c r="AE44" s="76">
        <v>0.02</v>
      </c>
      <c r="AF44" s="75" t="s">
        <v>824</v>
      </c>
      <c r="AG44" s="79">
        <v>1.4999999999999999E-2</v>
      </c>
      <c r="AH44" s="78">
        <v>1708</v>
      </c>
      <c r="AI44" s="79">
        <v>4.65E-2</v>
      </c>
      <c r="AJ44" s="78">
        <v>5952</v>
      </c>
      <c r="AK44" s="79">
        <v>0</v>
      </c>
      <c r="AL44" s="79">
        <v>0</v>
      </c>
      <c r="AM44" s="80" t="str">
        <f t="shared" si="0"/>
        <v>04.040,0150,04650</v>
      </c>
      <c r="AN44" t="str">
        <f t="shared" si="1"/>
        <v>04.040,0150,04650</v>
      </c>
    </row>
    <row r="45" spans="2:40" ht="18" customHeight="1">
      <c r="B45" s="71">
        <v>40</v>
      </c>
      <c r="C45" s="81" t="s">
        <v>209</v>
      </c>
      <c r="D45" s="71" t="s">
        <v>881</v>
      </c>
      <c r="E45" s="82" t="s">
        <v>210</v>
      </c>
      <c r="F45" s="85" t="s">
        <v>838</v>
      </c>
      <c r="G45" s="74">
        <v>0.05</v>
      </c>
      <c r="H45" s="74" t="s">
        <v>824</v>
      </c>
      <c r="I45" s="74">
        <v>0.02</v>
      </c>
      <c r="J45" s="75" t="s">
        <v>824</v>
      </c>
      <c r="K45" s="75"/>
      <c r="L45" s="75"/>
      <c r="M45" s="75"/>
      <c r="N45" s="75"/>
      <c r="O45" s="75"/>
      <c r="P45" s="75"/>
      <c r="Q45" s="75"/>
      <c r="R45" s="75"/>
      <c r="S45" s="75"/>
      <c r="T45" s="75"/>
      <c r="U45" s="75"/>
      <c r="V45" s="75"/>
      <c r="W45" s="74">
        <v>0.05</v>
      </c>
      <c r="X45" s="75" t="s">
        <v>824</v>
      </c>
      <c r="Y45" s="74">
        <v>0.05</v>
      </c>
      <c r="Z45" s="75"/>
      <c r="AA45" s="74">
        <v>0.02</v>
      </c>
      <c r="AB45" s="75" t="s">
        <v>824</v>
      </c>
      <c r="AC45" s="76">
        <v>0.02</v>
      </c>
      <c r="AD45" s="76" t="s">
        <v>824</v>
      </c>
      <c r="AE45" s="76">
        <v>0.02</v>
      </c>
      <c r="AF45" s="75" t="s">
        <v>824</v>
      </c>
      <c r="AG45" s="79">
        <v>0</v>
      </c>
      <c r="AH45" s="78">
        <v>0</v>
      </c>
      <c r="AI45" s="79">
        <v>0</v>
      </c>
      <c r="AJ45" s="78">
        <v>0</v>
      </c>
      <c r="AK45" s="79">
        <v>0</v>
      </c>
      <c r="AL45" s="79">
        <v>0</v>
      </c>
      <c r="AM45" s="80" t="str">
        <f t="shared" si="0"/>
        <v>04.05000</v>
      </c>
      <c r="AN45" t="str">
        <f t="shared" si="1"/>
        <v>04.05000</v>
      </c>
    </row>
    <row r="46" spans="2:40" ht="18" customHeight="1">
      <c r="B46" s="71">
        <v>41</v>
      </c>
      <c r="C46" s="81" t="s">
        <v>209</v>
      </c>
      <c r="D46" s="71" t="s">
        <v>882</v>
      </c>
      <c r="E46" s="82" t="s">
        <v>210</v>
      </c>
      <c r="F46" s="85" t="s">
        <v>840</v>
      </c>
      <c r="G46" s="74">
        <v>0.05</v>
      </c>
      <c r="H46" s="74" t="s">
        <v>824</v>
      </c>
      <c r="I46" s="74">
        <v>0.02</v>
      </c>
      <c r="J46" s="75" t="s">
        <v>824</v>
      </c>
      <c r="K46" s="75"/>
      <c r="L46" s="75"/>
      <c r="M46" s="75"/>
      <c r="N46" s="75"/>
      <c r="O46" s="75"/>
      <c r="P46" s="75"/>
      <c r="Q46" s="75"/>
      <c r="R46" s="75"/>
      <c r="S46" s="75"/>
      <c r="T46" s="75"/>
      <c r="U46" s="75"/>
      <c r="V46" s="75"/>
      <c r="W46" s="74">
        <v>0.05</v>
      </c>
      <c r="X46" s="75" t="s">
        <v>824</v>
      </c>
      <c r="Y46" s="74">
        <v>0.05</v>
      </c>
      <c r="Z46" s="75"/>
      <c r="AA46" s="74">
        <v>0.02</v>
      </c>
      <c r="AB46" s="75" t="s">
        <v>824</v>
      </c>
      <c r="AC46" s="76">
        <v>0.02</v>
      </c>
      <c r="AD46" s="76" t="s">
        <v>824</v>
      </c>
      <c r="AE46" s="76">
        <v>0.02</v>
      </c>
      <c r="AF46" s="75" t="s">
        <v>824</v>
      </c>
      <c r="AG46" s="79">
        <v>0</v>
      </c>
      <c r="AH46" s="78">
        <v>0</v>
      </c>
      <c r="AI46" s="79">
        <v>0</v>
      </c>
      <c r="AJ46" s="78">
        <v>0</v>
      </c>
      <c r="AK46" s="79">
        <v>0.11</v>
      </c>
      <c r="AL46" s="79">
        <v>3.5000000000000003E-2</v>
      </c>
      <c r="AM46" s="80" t="str">
        <f t="shared" si="0"/>
        <v>04.05000,11</v>
      </c>
      <c r="AN46" t="str">
        <f t="shared" si="1"/>
        <v>04.05000,035</v>
      </c>
    </row>
    <row r="47" spans="2:40" ht="18" customHeight="1">
      <c r="B47" s="71">
        <v>42</v>
      </c>
      <c r="C47" s="81" t="s">
        <v>212</v>
      </c>
      <c r="D47" s="71" t="s">
        <v>883</v>
      </c>
      <c r="E47" s="82" t="s">
        <v>213</v>
      </c>
      <c r="F47" s="85" t="s">
        <v>838</v>
      </c>
      <c r="G47" s="74">
        <v>0.05</v>
      </c>
      <c r="H47" s="74" t="s">
        <v>824</v>
      </c>
      <c r="I47" s="74">
        <v>0.02</v>
      </c>
      <c r="J47" s="75" t="s">
        <v>824</v>
      </c>
      <c r="K47" s="75"/>
      <c r="L47" s="75"/>
      <c r="M47" s="75"/>
      <c r="N47" s="75"/>
      <c r="O47" s="75"/>
      <c r="P47" s="75"/>
      <c r="Q47" s="75"/>
      <c r="R47" s="75"/>
      <c r="S47" s="75"/>
      <c r="T47" s="75"/>
      <c r="U47" s="75"/>
      <c r="V47" s="75"/>
      <c r="W47" s="74">
        <v>0.05</v>
      </c>
      <c r="X47" s="75" t="s">
        <v>824</v>
      </c>
      <c r="Y47" s="74">
        <v>0.05</v>
      </c>
      <c r="Z47" s="75"/>
      <c r="AA47" s="74">
        <v>0.02</v>
      </c>
      <c r="AB47" s="75" t="s">
        <v>824</v>
      </c>
      <c r="AC47" s="76">
        <v>0.02</v>
      </c>
      <c r="AD47" s="76" t="s">
        <v>824</v>
      </c>
      <c r="AE47" s="76">
        <v>0.02</v>
      </c>
      <c r="AF47" s="75" t="s">
        <v>824</v>
      </c>
      <c r="AG47" s="79">
        <v>1.4999999999999999E-2</v>
      </c>
      <c r="AH47" s="78">
        <v>1708</v>
      </c>
      <c r="AI47" s="79">
        <v>4.65E-2</v>
      </c>
      <c r="AJ47" s="78">
        <v>5952</v>
      </c>
      <c r="AK47" s="79">
        <v>0</v>
      </c>
      <c r="AL47" s="79">
        <v>0</v>
      </c>
      <c r="AM47" s="80" t="str">
        <f t="shared" si="0"/>
        <v>04.060,0150,04650</v>
      </c>
      <c r="AN47" t="str">
        <f t="shared" si="1"/>
        <v>04.060,0150,04650</v>
      </c>
    </row>
    <row r="48" spans="2:40" ht="18" customHeight="1">
      <c r="B48" s="71">
        <v>43</v>
      </c>
      <c r="C48" s="81" t="s">
        <v>212</v>
      </c>
      <c r="D48" s="71" t="s">
        <v>884</v>
      </c>
      <c r="E48" s="82" t="s">
        <v>213</v>
      </c>
      <c r="F48" s="85" t="s">
        <v>840</v>
      </c>
      <c r="G48" s="74">
        <v>0.05</v>
      </c>
      <c r="H48" s="74" t="s">
        <v>824</v>
      </c>
      <c r="I48" s="74">
        <v>0.02</v>
      </c>
      <c r="J48" s="75" t="s">
        <v>824</v>
      </c>
      <c r="K48" s="75"/>
      <c r="L48" s="75"/>
      <c r="M48" s="75"/>
      <c r="N48" s="75"/>
      <c r="O48" s="75"/>
      <c r="P48" s="75"/>
      <c r="Q48" s="75"/>
      <c r="R48" s="75"/>
      <c r="S48" s="75"/>
      <c r="T48" s="75"/>
      <c r="U48" s="75"/>
      <c r="V48" s="75"/>
      <c r="W48" s="74">
        <v>0.05</v>
      </c>
      <c r="X48" s="75" t="s">
        <v>824</v>
      </c>
      <c r="Y48" s="74">
        <v>0.05</v>
      </c>
      <c r="Z48" s="75"/>
      <c r="AA48" s="74">
        <v>0.02</v>
      </c>
      <c r="AB48" s="75" t="s">
        <v>824</v>
      </c>
      <c r="AC48" s="76">
        <v>0.02</v>
      </c>
      <c r="AD48" s="76" t="s">
        <v>824</v>
      </c>
      <c r="AE48" s="76">
        <v>0.02</v>
      </c>
      <c r="AF48" s="75" t="s">
        <v>824</v>
      </c>
      <c r="AG48" s="79">
        <v>1.4999999999999999E-2</v>
      </c>
      <c r="AH48" s="78">
        <v>1708</v>
      </c>
      <c r="AI48" s="79">
        <v>4.65E-2</v>
      </c>
      <c r="AJ48" s="78">
        <v>5952</v>
      </c>
      <c r="AK48" s="79">
        <v>0.11</v>
      </c>
      <c r="AL48" s="79">
        <v>3.5000000000000003E-2</v>
      </c>
      <c r="AM48" s="80" t="str">
        <f t="shared" si="0"/>
        <v>04.060,0150,04650,11</v>
      </c>
      <c r="AN48" t="str">
        <f t="shared" si="1"/>
        <v>04.060,0150,04650,035</v>
      </c>
    </row>
    <row r="49" spans="2:40" ht="18" customHeight="1">
      <c r="B49" s="71">
        <v>44</v>
      </c>
      <c r="C49" s="81" t="s">
        <v>215</v>
      </c>
      <c r="D49" s="71" t="s">
        <v>885</v>
      </c>
      <c r="E49" s="82" t="s">
        <v>216</v>
      </c>
      <c r="F49" s="85" t="s">
        <v>838</v>
      </c>
      <c r="G49" s="74">
        <v>0.05</v>
      </c>
      <c r="H49" s="74" t="s">
        <v>824</v>
      </c>
      <c r="I49" s="74">
        <v>0.02</v>
      </c>
      <c r="J49" s="75" t="s">
        <v>824</v>
      </c>
      <c r="K49" s="75"/>
      <c r="L49" s="75"/>
      <c r="M49" s="75"/>
      <c r="N49" s="75"/>
      <c r="O49" s="75"/>
      <c r="P49" s="75"/>
      <c r="Q49" s="75"/>
      <c r="R49" s="75"/>
      <c r="S49" s="75"/>
      <c r="T49" s="75"/>
      <c r="U49" s="75"/>
      <c r="V49" s="75"/>
      <c r="W49" s="74">
        <v>0.05</v>
      </c>
      <c r="X49" s="75" t="s">
        <v>824</v>
      </c>
      <c r="Y49" s="74">
        <v>0.05</v>
      </c>
      <c r="Z49" s="75"/>
      <c r="AA49" s="74">
        <v>0.02</v>
      </c>
      <c r="AB49" s="75" t="s">
        <v>824</v>
      </c>
      <c r="AC49" s="76">
        <v>0.02</v>
      </c>
      <c r="AD49" s="76" t="s">
        <v>824</v>
      </c>
      <c r="AE49" s="76">
        <v>0.02</v>
      </c>
      <c r="AF49" s="75" t="s">
        <v>824</v>
      </c>
      <c r="AG49" s="79">
        <v>0</v>
      </c>
      <c r="AH49" s="78">
        <v>0</v>
      </c>
      <c r="AI49" s="79">
        <v>0</v>
      </c>
      <c r="AJ49" s="78">
        <v>0</v>
      </c>
      <c r="AK49" s="79">
        <v>0</v>
      </c>
      <c r="AL49" s="79">
        <v>0</v>
      </c>
      <c r="AM49" s="80" t="str">
        <f t="shared" si="0"/>
        <v>04.07000</v>
      </c>
      <c r="AN49" t="str">
        <f t="shared" si="1"/>
        <v>04.07000</v>
      </c>
    </row>
    <row r="50" spans="2:40" ht="18" customHeight="1">
      <c r="B50" s="71">
        <v>45</v>
      </c>
      <c r="C50" s="81" t="s">
        <v>218</v>
      </c>
      <c r="D50" s="71" t="s">
        <v>886</v>
      </c>
      <c r="E50" s="82" t="s">
        <v>219</v>
      </c>
      <c r="F50" s="85" t="s">
        <v>838</v>
      </c>
      <c r="G50" s="74">
        <v>0.05</v>
      </c>
      <c r="H50" s="74" t="s">
        <v>824</v>
      </c>
      <c r="I50" s="74">
        <v>0.02</v>
      </c>
      <c r="J50" s="75" t="s">
        <v>824</v>
      </c>
      <c r="K50" s="75"/>
      <c r="L50" s="75"/>
      <c r="M50" s="75"/>
      <c r="N50" s="75"/>
      <c r="O50" s="75"/>
      <c r="P50" s="75"/>
      <c r="Q50" s="75"/>
      <c r="R50" s="75"/>
      <c r="S50" s="75"/>
      <c r="T50" s="75"/>
      <c r="U50" s="75"/>
      <c r="V50" s="75"/>
      <c r="W50" s="74">
        <v>0.05</v>
      </c>
      <c r="X50" s="75" t="s">
        <v>849</v>
      </c>
      <c r="Y50" s="74">
        <v>0.05</v>
      </c>
      <c r="Z50" s="75"/>
      <c r="AA50" s="74">
        <v>0.02</v>
      </c>
      <c r="AB50" s="75" t="s">
        <v>824</v>
      </c>
      <c r="AC50" s="76">
        <v>0.02</v>
      </c>
      <c r="AD50" s="76" t="s">
        <v>824</v>
      </c>
      <c r="AE50" s="76">
        <v>0.02</v>
      </c>
      <c r="AF50" s="75" t="s">
        <v>824</v>
      </c>
      <c r="AG50" s="79">
        <v>1.4999999999999999E-2</v>
      </c>
      <c r="AH50" s="78">
        <v>1708</v>
      </c>
      <c r="AI50" s="79">
        <v>4.65E-2</v>
      </c>
      <c r="AJ50" s="78">
        <v>5952</v>
      </c>
      <c r="AK50" s="79">
        <v>0</v>
      </c>
      <c r="AL50" s="79">
        <v>0</v>
      </c>
      <c r="AM50" s="80" t="str">
        <f t="shared" si="0"/>
        <v>04.080,0150,04650</v>
      </c>
      <c r="AN50" t="str">
        <f t="shared" si="1"/>
        <v>04.080,0150,04650</v>
      </c>
    </row>
    <row r="51" spans="2:40" ht="18" customHeight="1">
      <c r="B51" s="71">
        <v>46</v>
      </c>
      <c r="C51" s="81" t="s">
        <v>218</v>
      </c>
      <c r="D51" s="71" t="s">
        <v>887</v>
      </c>
      <c r="E51" s="82" t="s">
        <v>219</v>
      </c>
      <c r="F51" s="85" t="s">
        <v>840</v>
      </c>
      <c r="G51" s="74">
        <v>0.05</v>
      </c>
      <c r="H51" s="74" t="s">
        <v>824</v>
      </c>
      <c r="I51" s="74">
        <v>0.02</v>
      </c>
      <c r="J51" s="75" t="s">
        <v>824</v>
      </c>
      <c r="K51" s="75"/>
      <c r="L51" s="75"/>
      <c r="M51" s="75"/>
      <c r="N51" s="75"/>
      <c r="O51" s="75"/>
      <c r="P51" s="75"/>
      <c r="Q51" s="75"/>
      <c r="R51" s="75"/>
      <c r="S51" s="75"/>
      <c r="T51" s="75"/>
      <c r="U51" s="75"/>
      <c r="V51" s="75"/>
      <c r="W51" s="74">
        <v>0.05</v>
      </c>
      <c r="X51" s="75" t="s">
        <v>849</v>
      </c>
      <c r="Y51" s="74">
        <v>0.05</v>
      </c>
      <c r="Z51" s="75"/>
      <c r="AA51" s="74">
        <v>0.02</v>
      </c>
      <c r="AB51" s="75" t="s">
        <v>824</v>
      </c>
      <c r="AC51" s="76">
        <v>0.02</v>
      </c>
      <c r="AD51" s="76" t="s">
        <v>824</v>
      </c>
      <c r="AE51" s="76">
        <v>0.02</v>
      </c>
      <c r="AF51" s="75" t="s">
        <v>824</v>
      </c>
      <c r="AG51" s="79">
        <v>1.4999999999999999E-2</v>
      </c>
      <c r="AH51" s="78">
        <v>1708</v>
      </c>
      <c r="AI51" s="79">
        <v>4.65E-2</v>
      </c>
      <c r="AJ51" s="78">
        <v>5952</v>
      </c>
      <c r="AK51" s="79">
        <v>0.11</v>
      </c>
      <c r="AL51" s="79">
        <v>3.5000000000000003E-2</v>
      </c>
      <c r="AM51" s="80" t="str">
        <f t="shared" si="0"/>
        <v>04.080,0150,04650,11</v>
      </c>
      <c r="AN51" t="str">
        <f t="shared" si="1"/>
        <v>04.080,0150,04650,035</v>
      </c>
    </row>
    <row r="52" spans="2:40" ht="18" customHeight="1">
      <c r="B52" s="71">
        <v>47</v>
      </c>
      <c r="C52" s="81" t="s">
        <v>221</v>
      </c>
      <c r="D52" s="71" t="s">
        <v>888</v>
      </c>
      <c r="E52" s="82" t="s">
        <v>222</v>
      </c>
      <c r="F52" s="85" t="s">
        <v>838</v>
      </c>
      <c r="G52" s="74">
        <v>0.05</v>
      </c>
      <c r="H52" s="74" t="s">
        <v>824</v>
      </c>
      <c r="I52" s="74">
        <v>0.02</v>
      </c>
      <c r="J52" s="75" t="s">
        <v>824</v>
      </c>
      <c r="K52" s="79"/>
      <c r="L52" s="79"/>
      <c r="M52" s="78"/>
      <c r="N52" s="78"/>
      <c r="O52" s="86" t="s">
        <v>825</v>
      </c>
      <c r="P52" s="86"/>
      <c r="Q52" s="79" t="s">
        <v>825</v>
      </c>
      <c r="R52" s="87"/>
      <c r="S52" s="80"/>
      <c r="T52" s="80"/>
      <c r="U52"/>
      <c r="W52" s="74">
        <v>0.05</v>
      </c>
      <c r="X52" s="75" t="s">
        <v>824</v>
      </c>
      <c r="Y52" s="74">
        <v>0.05</v>
      </c>
      <c r="AA52" s="74">
        <v>0.02</v>
      </c>
      <c r="AB52" s="75" t="s">
        <v>824</v>
      </c>
      <c r="AC52" s="76">
        <v>0.02</v>
      </c>
      <c r="AD52" s="76" t="s">
        <v>824</v>
      </c>
      <c r="AE52" s="76">
        <v>0.02</v>
      </c>
      <c r="AF52" s="75" t="s">
        <v>824</v>
      </c>
      <c r="AG52" s="79">
        <v>1.4999999999999999E-2</v>
      </c>
      <c r="AH52" s="78">
        <v>1708</v>
      </c>
      <c r="AI52" s="79">
        <v>4.65E-2</v>
      </c>
      <c r="AJ52" s="78">
        <v>5952</v>
      </c>
      <c r="AK52" s="79">
        <v>0</v>
      </c>
      <c r="AL52" s="79">
        <v>0</v>
      </c>
      <c r="AM52" s="80" t="str">
        <f t="shared" si="0"/>
        <v>04.090,0150,04650</v>
      </c>
      <c r="AN52" t="str">
        <f t="shared" si="1"/>
        <v>04.090,0150,04650</v>
      </c>
    </row>
    <row r="53" spans="2:40" ht="18" customHeight="1">
      <c r="B53" s="71">
        <v>48</v>
      </c>
      <c r="C53" s="81" t="s">
        <v>221</v>
      </c>
      <c r="D53" s="71" t="s">
        <v>889</v>
      </c>
      <c r="E53" s="82" t="s">
        <v>222</v>
      </c>
      <c r="F53" s="85" t="s">
        <v>840</v>
      </c>
      <c r="G53" s="74">
        <v>0.05</v>
      </c>
      <c r="H53" s="74" t="s">
        <v>824</v>
      </c>
      <c r="I53" s="74">
        <v>0.02</v>
      </c>
      <c r="J53" s="75" t="s">
        <v>824</v>
      </c>
      <c r="K53" s="75"/>
      <c r="L53" s="75"/>
      <c r="M53" s="75"/>
      <c r="N53" s="75"/>
      <c r="O53" s="75"/>
      <c r="P53" s="75"/>
      <c r="Q53" s="75"/>
      <c r="R53" s="75"/>
      <c r="S53" s="75"/>
      <c r="T53" s="75"/>
      <c r="U53" s="75"/>
      <c r="V53" s="75"/>
      <c r="W53" s="74">
        <v>0.05</v>
      </c>
      <c r="X53" s="75" t="s">
        <v>824</v>
      </c>
      <c r="Y53" s="74">
        <v>0.05</v>
      </c>
      <c r="Z53" s="75"/>
      <c r="AA53" s="74">
        <v>0.02</v>
      </c>
      <c r="AB53" s="75" t="s">
        <v>824</v>
      </c>
      <c r="AC53" s="76">
        <v>0.02</v>
      </c>
      <c r="AD53" s="76" t="s">
        <v>824</v>
      </c>
      <c r="AE53" s="76">
        <v>0.02</v>
      </c>
      <c r="AF53" s="75" t="s">
        <v>824</v>
      </c>
      <c r="AG53" s="79">
        <v>1.4999999999999999E-2</v>
      </c>
      <c r="AH53" s="78">
        <v>1708</v>
      </c>
      <c r="AI53" s="79">
        <v>4.65E-2</v>
      </c>
      <c r="AJ53" s="78">
        <v>5952</v>
      </c>
      <c r="AK53" s="79">
        <v>0.11</v>
      </c>
      <c r="AL53" s="79">
        <v>3.5000000000000003E-2</v>
      </c>
      <c r="AM53" s="80" t="str">
        <f t="shared" si="0"/>
        <v>04.090,0150,04650,11</v>
      </c>
      <c r="AN53" t="str">
        <f t="shared" si="1"/>
        <v>04.090,0150,04650,035</v>
      </c>
    </row>
    <row r="54" spans="2:40" ht="18" customHeight="1">
      <c r="B54" s="71">
        <v>49</v>
      </c>
      <c r="C54" s="81" t="s">
        <v>224</v>
      </c>
      <c r="D54" s="71" t="s">
        <v>890</v>
      </c>
      <c r="E54" s="82" t="s">
        <v>225</v>
      </c>
      <c r="F54" s="85" t="s">
        <v>838</v>
      </c>
      <c r="G54" s="74">
        <v>0.05</v>
      </c>
      <c r="H54" s="74" t="s">
        <v>824</v>
      </c>
      <c r="I54" s="74">
        <v>0.02</v>
      </c>
      <c r="J54" s="75" t="s">
        <v>824</v>
      </c>
      <c r="K54" s="75"/>
      <c r="L54" s="75"/>
      <c r="M54" s="75"/>
      <c r="N54" s="75"/>
      <c r="O54" s="75"/>
      <c r="P54" s="75"/>
      <c r="Q54" s="75"/>
      <c r="R54" s="75"/>
      <c r="S54" s="75"/>
      <c r="T54" s="75"/>
      <c r="U54" s="75"/>
      <c r="V54" s="75"/>
      <c r="W54" s="74">
        <v>0.05</v>
      </c>
      <c r="X54" s="75" t="s">
        <v>824</v>
      </c>
      <c r="Y54" s="74">
        <v>0.05</v>
      </c>
      <c r="Z54" s="75"/>
      <c r="AA54" s="74">
        <v>0.02</v>
      </c>
      <c r="AB54" s="75" t="s">
        <v>824</v>
      </c>
      <c r="AC54" s="76">
        <v>0.02</v>
      </c>
      <c r="AD54" s="76" t="s">
        <v>824</v>
      </c>
      <c r="AE54" s="76">
        <v>0.02</v>
      </c>
      <c r="AF54" s="75" t="s">
        <v>824</v>
      </c>
      <c r="AG54" s="79">
        <v>1.4999999999999999E-2</v>
      </c>
      <c r="AH54" s="78">
        <v>1708</v>
      </c>
      <c r="AI54" s="79">
        <v>4.65E-2</v>
      </c>
      <c r="AJ54" s="78">
        <v>5952</v>
      </c>
      <c r="AK54" s="79">
        <v>0</v>
      </c>
      <c r="AL54" s="79">
        <v>0</v>
      </c>
      <c r="AM54" s="80" t="str">
        <f t="shared" si="0"/>
        <v>04.100,0150,04650</v>
      </c>
      <c r="AN54" t="str">
        <f t="shared" si="1"/>
        <v>04.100,0150,04650</v>
      </c>
    </row>
    <row r="55" spans="2:40" ht="18" customHeight="1">
      <c r="B55" s="71">
        <v>50</v>
      </c>
      <c r="C55" s="81" t="s">
        <v>227</v>
      </c>
      <c r="D55" s="71" t="s">
        <v>891</v>
      </c>
      <c r="E55" s="82" t="s">
        <v>228</v>
      </c>
      <c r="F55" s="85" t="s">
        <v>838</v>
      </c>
      <c r="G55" s="74">
        <v>0.05</v>
      </c>
      <c r="H55" s="74" t="s">
        <v>824</v>
      </c>
      <c r="I55" s="74">
        <v>0.02</v>
      </c>
      <c r="J55" s="75" t="s">
        <v>824</v>
      </c>
      <c r="K55" s="79"/>
      <c r="L55" s="79"/>
      <c r="M55" s="78"/>
      <c r="N55" s="78"/>
      <c r="O55" s="86" t="s">
        <v>825</v>
      </c>
      <c r="P55" s="86"/>
      <c r="Q55" s="79" t="s">
        <v>825</v>
      </c>
      <c r="R55" s="87"/>
      <c r="S55" s="80"/>
      <c r="T55" s="80"/>
      <c r="U55"/>
      <c r="W55" s="74">
        <v>0.05</v>
      </c>
      <c r="X55" s="75" t="s">
        <v>824</v>
      </c>
      <c r="Y55" s="74">
        <v>0.05</v>
      </c>
      <c r="AA55" s="74">
        <v>0.02</v>
      </c>
      <c r="AB55" s="75" t="s">
        <v>824</v>
      </c>
      <c r="AC55" s="76">
        <v>0.02</v>
      </c>
      <c r="AD55" s="76" t="s">
        <v>824</v>
      </c>
      <c r="AE55" s="76">
        <v>0.02</v>
      </c>
      <c r="AF55" s="75" t="s">
        <v>824</v>
      </c>
      <c r="AG55" s="79">
        <v>1.4999999999999999E-2</v>
      </c>
      <c r="AH55" s="78">
        <v>1708</v>
      </c>
      <c r="AI55" s="79">
        <v>4.65E-2</v>
      </c>
      <c r="AJ55" s="78">
        <v>5952</v>
      </c>
      <c r="AK55" s="79">
        <v>0</v>
      </c>
      <c r="AL55" s="79">
        <v>0</v>
      </c>
      <c r="AM55" s="80" t="str">
        <f t="shared" si="0"/>
        <v>04.110,0150,04650</v>
      </c>
      <c r="AN55" t="str">
        <f t="shared" si="1"/>
        <v>04.110,0150,04650</v>
      </c>
    </row>
    <row r="56" spans="2:40" ht="18" customHeight="1">
      <c r="B56" s="71">
        <v>51</v>
      </c>
      <c r="C56" s="81" t="s">
        <v>227</v>
      </c>
      <c r="D56" s="71" t="s">
        <v>892</v>
      </c>
      <c r="E56" s="82" t="s">
        <v>228</v>
      </c>
      <c r="F56" s="85" t="s">
        <v>840</v>
      </c>
      <c r="G56" s="74">
        <v>0.05</v>
      </c>
      <c r="H56" s="74" t="s">
        <v>824</v>
      </c>
      <c r="I56" s="74">
        <v>0.02</v>
      </c>
      <c r="J56" s="75" t="s">
        <v>824</v>
      </c>
      <c r="K56" s="75"/>
      <c r="L56" s="75"/>
      <c r="M56" s="75"/>
      <c r="N56" s="75"/>
      <c r="O56" s="75"/>
      <c r="P56" s="75"/>
      <c r="Q56" s="75"/>
      <c r="R56" s="75"/>
      <c r="S56" s="75"/>
      <c r="T56" s="75"/>
      <c r="U56" s="75"/>
      <c r="V56" s="75"/>
      <c r="W56" s="74">
        <v>0.05</v>
      </c>
      <c r="X56" s="75" t="s">
        <v>824</v>
      </c>
      <c r="Y56" s="74">
        <v>0.05</v>
      </c>
      <c r="Z56" s="75"/>
      <c r="AA56" s="74">
        <v>0.02</v>
      </c>
      <c r="AB56" s="75" t="s">
        <v>824</v>
      </c>
      <c r="AC56" s="76">
        <v>0.02</v>
      </c>
      <c r="AD56" s="76" t="s">
        <v>824</v>
      </c>
      <c r="AE56" s="76">
        <v>0.02</v>
      </c>
      <c r="AF56" s="75" t="s">
        <v>824</v>
      </c>
      <c r="AG56" s="79">
        <v>1.4999999999999999E-2</v>
      </c>
      <c r="AH56" s="78">
        <v>1708</v>
      </c>
      <c r="AI56" s="79">
        <v>4.65E-2</v>
      </c>
      <c r="AJ56" s="78">
        <v>5952</v>
      </c>
      <c r="AK56" s="79">
        <v>0.11</v>
      </c>
      <c r="AL56" s="79">
        <v>3.5000000000000003E-2</v>
      </c>
      <c r="AM56" s="80" t="str">
        <f t="shared" si="0"/>
        <v>04.110,0150,04650,11</v>
      </c>
      <c r="AN56" t="str">
        <f t="shared" si="1"/>
        <v>04.110,0150,04650,035</v>
      </c>
    </row>
    <row r="57" spans="2:40" ht="18" customHeight="1">
      <c r="B57" s="71">
        <v>52</v>
      </c>
      <c r="C57" s="81" t="s">
        <v>230</v>
      </c>
      <c r="D57" s="71" t="s">
        <v>893</v>
      </c>
      <c r="E57" s="82" t="s">
        <v>231</v>
      </c>
      <c r="F57" s="85" t="s">
        <v>838</v>
      </c>
      <c r="G57" s="74">
        <v>0.05</v>
      </c>
      <c r="H57" s="74" t="s">
        <v>824</v>
      </c>
      <c r="I57" s="74">
        <v>0.02</v>
      </c>
      <c r="J57" s="75" t="s">
        <v>824</v>
      </c>
      <c r="K57" s="79"/>
      <c r="L57" s="79"/>
      <c r="M57" s="78"/>
      <c r="N57" s="78"/>
      <c r="O57" s="86" t="s">
        <v>825</v>
      </c>
      <c r="P57" s="86"/>
      <c r="Q57" s="79" t="s">
        <v>825</v>
      </c>
      <c r="R57" s="87"/>
      <c r="S57" s="80"/>
      <c r="T57" s="80"/>
      <c r="U57"/>
      <c r="W57" s="74">
        <v>0.05</v>
      </c>
      <c r="X57" s="75" t="s">
        <v>824</v>
      </c>
      <c r="Y57" s="74">
        <v>0.05</v>
      </c>
      <c r="AA57" s="74">
        <v>0.02</v>
      </c>
      <c r="AB57" s="75" t="s">
        <v>824</v>
      </c>
      <c r="AC57" s="76">
        <v>0.02</v>
      </c>
      <c r="AD57" s="76" t="s">
        <v>824</v>
      </c>
      <c r="AE57" s="76">
        <v>0.02</v>
      </c>
      <c r="AF57" s="75" t="s">
        <v>824</v>
      </c>
      <c r="AG57" s="79">
        <v>1.4999999999999999E-2</v>
      </c>
      <c r="AH57" s="78">
        <v>1708</v>
      </c>
      <c r="AI57" s="79">
        <v>4.65E-2</v>
      </c>
      <c r="AJ57" s="78">
        <v>5952</v>
      </c>
      <c r="AK57" s="79">
        <v>0</v>
      </c>
      <c r="AL57" s="79">
        <v>0</v>
      </c>
      <c r="AM57" s="80" t="str">
        <f t="shared" si="0"/>
        <v>04.120,0150,04650</v>
      </c>
      <c r="AN57" t="str">
        <f t="shared" si="1"/>
        <v>04.120,0150,04650</v>
      </c>
    </row>
    <row r="58" spans="2:40" ht="18" customHeight="1">
      <c r="B58" s="71">
        <v>53</v>
      </c>
      <c r="C58" s="81" t="s">
        <v>230</v>
      </c>
      <c r="D58" s="71" t="s">
        <v>894</v>
      </c>
      <c r="E58" s="82" t="s">
        <v>231</v>
      </c>
      <c r="F58" s="85" t="s">
        <v>840</v>
      </c>
      <c r="G58" s="74">
        <v>0.05</v>
      </c>
      <c r="H58" s="74" t="s">
        <v>824</v>
      </c>
      <c r="I58" s="74">
        <v>0.02</v>
      </c>
      <c r="J58" s="75" t="s">
        <v>824</v>
      </c>
      <c r="K58" s="75"/>
      <c r="L58" s="75"/>
      <c r="M58" s="75"/>
      <c r="N58" s="75"/>
      <c r="O58" s="75"/>
      <c r="P58" s="75"/>
      <c r="Q58" s="75"/>
      <c r="R58" s="75"/>
      <c r="S58" s="75"/>
      <c r="T58" s="75"/>
      <c r="U58" s="75"/>
      <c r="V58" s="75"/>
      <c r="W58" s="74">
        <v>0.05</v>
      </c>
      <c r="X58" s="75" t="s">
        <v>824</v>
      </c>
      <c r="Y58" s="74">
        <v>0.05</v>
      </c>
      <c r="Z58" s="75"/>
      <c r="AA58" s="74">
        <v>0.02</v>
      </c>
      <c r="AB58" s="75" t="s">
        <v>824</v>
      </c>
      <c r="AC58" s="76">
        <v>0.02</v>
      </c>
      <c r="AD58" s="76" t="s">
        <v>824</v>
      </c>
      <c r="AE58" s="76">
        <v>0.02</v>
      </c>
      <c r="AF58" s="75" t="s">
        <v>824</v>
      </c>
      <c r="AG58" s="79">
        <v>1.4999999999999999E-2</v>
      </c>
      <c r="AH58" s="78">
        <v>1708</v>
      </c>
      <c r="AI58" s="79">
        <v>4.65E-2</v>
      </c>
      <c r="AJ58" s="78">
        <v>5952</v>
      </c>
      <c r="AK58" s="79">
        <v>0.11</v>
      </c>
      <c r="AL58" s="79">
        <v>3.5000000000000003E-2</v>
      </c>
      <c r="AM58" s="80" t="str">
        <f t="shared" si="0"/>
        <v>04.120,0150,04650,11</v>
      </c>
      <c r="AN58" t="str">
        <f t="shared" si="1"/>
        <v>04.120,0150,04650,035</v>
      </c>
    </row>
    <row r="59" spans="2:40" ht="18" customHeight="1">
      <c r="B59" s="71">
        <v>54</v>
      </c>
      <c r="C59" s="81" t="s">
        <v>233</v>
      </c>
      <c r="D59" s="71" t="s">
        <v>895</v>
      </c>
      <c r="E59" s="82" t="s">
        <v>234</v>
      </c>
      <c r="F59" s="85" t="s">
        <v>838</v>
      </c>
      <c r="G59" s="74">
        <v>0.05</v>
      </c>
      <c r="H59" s="74" t="s">
        <v>824</v>
      </c>
      <c r="I59" s="74">
        <v>0.02</v>
      </c>
      <c r="J59" s="75" t="s">
        <v>824</v>
      </c>
      <c r="K59" s="79"/>
      <c r="L59" s="79"/>
      <c r="M59" s="78"/>
      <c r="N59" s="78"/>
      <c r="O59" s="86" t="s">
        <v>825</v>
      </c>
      <c r="P59" s="86"/>
      <c r="Q59" s="79" t="s">
        <v>825</v>
      </c>
      <c r="R59" s="87"/>
      <c r="S59" s="80"/>
      <c r="T59" s="80"/>
      <c r="U59"/>
      <c r="W59" s="74">
        <v>0.05</v>
      </c>
      <c r="X59" s="75" t="s">
        <v>824</v>
      </c>
      <c r="Y59" s="74">
        <v>0.05</v>
      </c>
      <c r="AA59" s="74">
        <v>0.02</v>
      </c>
      <c r="AB59" s="75" t="s">
        <v>824</v>
      </c>
      <c r="AC59" s="76">
        <v>0.02</v>
      </c>
      <c r="AD59" s="76" t="s">
        <v>824</v>
      </c>
      <c r="AE59" s="76">
        <v>0.02</v>
      </c>
      <c r="AF59" s="75" t="s">
        <v>824</v>
      </c>
      <c r="AG59" s="79">
        <v>1.4999999999999999E-2</v>
      </c>
      <c r="AH59" s="78">
        <v>1708</v>
      </c>
      <c r="AI59" s="79">
        <v>4.65E-2</v>
      </c>
      <c r="AJ59" s="78">
        <v>5952</v>
      </c>
      <c r="AK59" s="79">
        <v>0</v>
      </c>
      <c r="AL59" s="79">
        <v>0</v>
      </c>
      <c r="AM59" s="80" t="str">
        <f t="shared" si="0"/>
        <v>04.130,0150,04650</v>
      </c>
      <c r="AN59" t="str">
        <f t="shared" si="1"/>
        <v>04.130,0150,04650</v>
      </c>
    </row>
    <row r="60" spans="2:40" ht="18" customHeight="1">
      <c r="B60" s="71">
        <v>55</v>
      </c>
      <c r="C60" s="81" t="s">
        <v>233</v>
      </c>
      <c r="D60" s="71" t="s">
        <v>896</v>
      </c>
      <c r="E60" s="82" t="s">
        <v>234</v>
      </c>
      <c r="F60" s="85" t="s">
        <v>840</v>
      </c>
      <c r="G60" s="74">
        <v>0.05</v>
      </c>
      <c r="H60" s="74" t="s">
        <v>824</v>
      </c>
      <c r="I60" s="74">
        <v>0.02</v>
      </c>
      <c r="J60" s="75" t="s">
        <v>824</v>
      </c>
      <c r="K60" s="75"/>
      <c r="L60" s="75"/>
      <c r="M60" s="75"/>
      <c r="N60" s="75"/>
      <c r="O60" s="75"/>
      <c r="P60" s="75"/>
      <c r="Q60" s="75"/>
      <c r="R60" s="75"/>
      <c r="S60" s="75"/>
      <c r="T60" s="75"/>
      <c r="U60" s="75"/>
      <c r="V60" s="75"/>
      <c r="W60" s="74">
        <v>0.05</v>
      </c>
      <c r="X60" s="75" t="s">
        <v>824</v>
      </c>
      <c r="Y60" s="74">
        <v>0.05</v>
      </c>
      <c r="Z60" s="75"/>
      <c r="AA60" s="74">
        <v>0.02</v>
      </c>
      <c r="AB60" s="75" t="s">
        <v>824</v>
      </c>
      <c r="AC60" s="76">
        <v>0.02</v>
      </c>
      <c r="AD60" s="76" t="s">
        <v>824</v>
      </c>
      <c r="AE60" s="76">
        <v>0.02</v>
      </c>
      <c r="AF60" s="75" t="s">
        <v>824</v>
      </c>
      <c r="AG60" s="79">
        <v>1.4999999999999999E-2</v>
      </c>
      <c r="AH60" s="78">
        <v>1708</v>
      </c>
      <c r="AI60" s="79">
        <v>4.65E-2</v>
      </c>
      <c r="AJ60" s="78">
        <v>5952</v>
      </c>
      <c r="AK60" s="79">
        <v>0.11</v>
      </c>
      <c r="AL60" s="79">
        <v>3.5000000000000003E-2</v>
      </c>
      <c r="AM60" s="80" t="str">
        <f t="shared" si="0"/>
        <v>04.130,0150,04650,11</v>
      </c>
      <c r="AN60" t="str">
        <f t="shared" si="1"/>
        <v>04.130,0150,04650,035</v>
      </c>
    </row>
    <row r="61" spans="2:40" ht="18" customHeight="1">
      <c r="B61" s="71">
        <v>56</v>
      </c>
      <c r="C61" s="81" t="s">
        <v>236</v>
      </c>
      <c r="D61" s="71" t="s">
        <v>897</v>
      </c>
      <c r="E61" s="82" t="s">
        <v>237</v>
      </c>
      <c r="F61" s="85" t="s">
        <v>838</v>
      </c>
      <c r="G61" s="74">
        <v>0.05</v>
      </c>
      <c r="H61" s="74" t="s">
        <v>824</v>
      </c>
      <c r="I61" s="74">
        <v>0.02</v>
      </c>
      <c r="J61" s="75" t="s">
        <v>824</v>
      </c>
      <c r="K61" s="75"/>
      <c r="L61" s="75"/>
      <c r="M61" s="75"/>
      <c r="N61" s="75"/>
      <c r="O61" s="75"/>
      <c r="P61" s="75"/>
      <c r="Q61" s="75"/>
      <c r="R61" s="75"/>
      <c r="S61" s="75"/>
      <c r="T61" s="75"/>
      <c r="U61" s="75"/>
      <c r="V61" s="75"/>
      <c r="W61" s="74">
        <v>0.05</v>
      </c>
      <c r="X61" s="75" t="s">
        <v>824</v>
      </c>
      <c r="Y61" s="74">
        <v>0.05</v>
      </c>
      <c r="Z61" s="75"/>
      <c r="AA61" s="74">
        <v>0.02</v>
      </c>
      <c r="AB61" s="75" t="s">
        <v>824</v>
      </c>
      <c r="AC61" s="76">
        <v>0.02</v>
      </c>
      <c r="AD61" s="76" t="s">
        <v>824</v>
      </c>
      <c r="AE61" s="76">
        <v>0.02</v>
      </c>
      <c r="AF61" s="75" t="s">
        <v>824</v>
      </c>
      <c r="AG61" s="79">
        <v>1.4999999999999999E-2</v>
      </c>
      <c r="AH61" s="78">
        <v>1708</v>
      </c>
      <c r="AI61" s="79">
        <v>4.65E-2</v>
      </c>
      <c r="AJ61" s="78">
        <v>5952</v>
      </c>
      <c r="AK61" s="79">
        <v>0</v>
      </c>
      <c r="AL61" s="79">
        <v>0</v>
      </c>
      <c r="AM61" s="80" t="str">
        <f t="shared" si="0"/>
        <v>04.140,0150,04650</v>
      </c>
      <c r="AN61" t="str">
        <f t="shared" si="1"/>
        <v>04.140,0150,04650</v>
      </c>
    </row>
    <row r="62" spans="2:40" ht="18" customHeight="1">
      <c r="B62" s="71">
        <v>57</v>
      </c>
      <c r="C62" s="81" t="s">
        <v>239</v>
      </c>
      <c r="D62" s="71" t="s">
        <v>898</v>
      </c>
      <c r="E62" s="82" t="s">
        <v>240</v>
      </c>
      <c r="F62" s="85" t="s">
        <v>838</v>
      </c>
      <c r="G62" s="74">
        <v>0.05</v>
      </c>
      <c r="H62" s="74" t="s">
        <v>824</v>
      </c>
      <c r="I62" s="74">
        <v>0.02</v>
      </c>
      <c r="J62" s="75" t="s">
        <v>824</v>
      </c>
      <c r="K62" s="79"/>
      <c r="L62" s="79"/>
      <c r="M62" s="78"/>
      <c r="N62" s="78"/>
      <c r="O62" s="86" t="s">
        <v>825</v>
      </c>
      <c r="P62" s="86"/>
      <c r="Q62" s="79" t="s">
        <v>825</v>
      </c>
      <c r="R62" s="87"/>
      <c r="S62" s="80"/>
      <c r="T62" s="80"/>
      <c r="U62"/>
      <c r="W62" s="74">
        <v>0.05</v>
      </c>
      <c r="X62" s="75" t="s">
        <v>824</v>
      </c>
      <c r="Y62" s="74">
        <v>0.05</v>
      </c>
      <c r="AA62" s="74">
        <v>0.02</v>
      </c>
      <c r="AB62" s="75" t="s">
        <v>824</v>
      </c>
      <c r="AC62" s="76">
        <v>0.02</v>
      </c>
      <c r="AD62" s="76" t="s">
        <v>824</v>
      </c>
      <c r="AE62" s="76">
        <v>0.02</v>
      </c>
      <c r="AF62" s="75" t="s">
        <v>824</v>
      </c>
      <c r="AG62" s="79">
        <v>1.4999999999999999E-2</v>
      </c>
      <c r="AH62" s="78">
        <v>1708</v>
      </c>
      <c r="AI62" s="79">
        <v>4.65E-2</v>
      </c>
      <c r="AJ62" s="78">
        <v>5952</v>
      </c>
      <c r="AK62" s="79">
        <v>0</v>
      </c>
      <c r="AL62" s="79">
        <v>0</v>
      </c>
      <c r="AM62" s="80" t="str">
        <f t="shared" si="0"/>
        <v>04.150,0150,04650</v>
      </c>
      <c r="AN62" t="str">
        <f t="shared" si="1"/>
        <v>04.150,0150,04650</v>
      </c>
    </row>
    <row r="63" spans="2:40" ht="18" customHeight="1">
      <c r="B63" s="71">
        <v>58</v>
      </c>
      <c r="C63" s="81" t="s">
        <v>239</v>
      </c>
      <c r="D63" s="71" t="s">
        <v>899</v>
      </c>
      <c r="E63" s="82" t="s">
        <v>240</v>
      </c>
      <c r="F63" s="85" t="s">
        <v>840</v>
      </c>
      <c r="G63" s="74">
        <v>0.05</v>
      </c>
      <c r="H63" s="74" t="s">
        <v>824</v>
      </c>
      <c r="I63" s="74">
        <v>0.02</v>
      </c>
      <c r="J63" s="75" t="s">
        <v>824</v>
      </c>
      <c r="K63" s="75"/>
      <c r="L63" s="75"/>
      <c r="M63" s="75"/>
      <c r="N63" s="75"/>
      <c r="O63" s="75"/>
      <c r="P63" s="75"/>
      <c r="Q63" s="75"/>
      <c r="R63" s="75"/>
      <c r="S63" s="75"/>
      <c r="T63" s="75"/>
      <c r="U63" s="75"/>
      <c r="V63" s="75"/>
      <c r="W63" s="74">
        <v>0.05</v>
      </c>
      <c r="X63" s="75" t="s">
        <v>824</v>
      </c>
      <c r="Y63" s="74">
        <v>0.05</v>
      </c>
      <c r="Z63" s="75"/>
      <c r="AA63" s="74">
        <v>0.02</v>
      </c>
      <c r="AB63" s="75" t="s">
        <v>824</v>
      </c>
      <c r="AC63" s="76">
        <v>0.02</v>
      </c>
      <c r="AD63" s="76" t="s">
        <v>824</v>
      </c>
      <c r="AE63" s="76">
        <v>0.02</v>
      </c>
      <c r="AF63" s="75" t="s">
        <v>824</v>
      </c>
      <c r="AG63" s="79">
        <v>1.4999999999999999E-2</v>
      </c>
      <c r="AH63" s="78">
        <v>1708</v>
      </c>
      <c r="AI63" s="79">
        <v>4.65E-2</v>
      </c>
      <c r="AJ63" s="78">
        <v>5952</v>
      </c>
      <c r="AK63" s="79">
        <v>0.11</v>
      </c>
      <c r="AL63" s="79">
        <v>3.5000000000000003E-2</v>
      </c>
      <c r="AM63" s="80" t="str">
        <f t="shared" si="0"/>
        <v>04.150,0150,04650,11</v>
      </c>
      <c r="AN63" t="str">
        <f t="shared" si="1"/>
        <v>04.150,0150,04650,035</v>
      </c>
    </row>
    <row r="64" spans="2:40" ht="18" customHeight="1">
      <c r="B64" s="71">
        <v>59</v>
      </c>
      <c r="C64" s="81" t="s">
        <v>242</v>
      </c>
      <c r="D64" s="71" t="s">
        <v>900</v>
      </c>
      <c r="E64" s="82" t="s">
        <v>243</v>
      </c>
      <c r="F64" s="85" t="s">
        <v>838</v>
      </c>
      <c r="G64" s="74">
        <v>0.05</v>
      </c>
      <c r="H64" s="74" t="s">
        <v>824</v>
      </c>
      <c r="I64" s="74">
        <v>0.02</v>
      </c>
      <c r="J64" s="75" t="s">
        <v>824</v>
      </c>
      <c r="K64" s="79"/>
      <c r="L64" s="79"/>
      <c r="M64" s="78"/>
      <c r="N64" s="78"/>
      <c r="O64" s="86" t="s">
        <v>825</v>
      </c>
      <c r="P64" s="86"/>
      <c r="Q64" s="79" t="s">
        <v>825</v>
      </c>
      <c r="R64" s="87"/>
      <c r="S64" s="80"/>
      <c r="T64" s="80"/>
      <c r="U64"/>
      <c r="W64" s="74">
        <v>0.05</v>
      </c>
      <c r="X64" s="75" t="s">
        <v>824</v>
      </c>
      <c r="Y64" s="74">
        <v>0.05</v>
      </c>
      <c r="AA64" s="74">
        <v>0.02</v>
      </c>
      <c r="AB64" s="75" t="s">
        <v>824</v>
      </c>
      <c r="AC64" s="76">
        <v>0.02</v>
      </c>
      <c r="AD64" s="76" t="s">
        <v>824</v>
      </c>
      <c r="AE64" s="76">
        <v>0.02</v>
      </c>
      <c r="AF64" s="75" t="s">
        <v>824</v>
      </c>
      <c r="AG64" s="79">
        <v>1.4999999999999999E-2</v>
      </c>
      <c r="AH64" s="78">
        <v>1708</v>
      </c>
      <c r="AI64" s="79">
        <v>4.65E-2</v>
      </c>
      <c r="AJ64" s="78">
        <v>5952</v>
      </c>
      <c r="AK64" s="79">
        <v>0</v>
      </c>
      <c r="AL64" s="79">
        <v>0</v>
      </c>
      <c r="AM64" s="80" t="str">
        <f t="shared" si="0"/>
        <v>04.160,0150,04650</v>
      </c>
      <c r="AN64" t="str">
        <f t="shared" si="1"/>
        <v>04.160,0150,04650</v>
      </c>
    </row>
    <row r="65" spans="2:40" ht="18" customHeight="1">
      <c r="B65" s="71">
        <v>60</v>
      </c>
      <c r="C65" s="81" t="s">
        <v>242</v>
      </c>
      <c r="D65" s="71" t="s">
        <v>901</v>
      </c>
      <c r="E65" s="82" t="s">
        <v>243</v>
      </c>
      <c r="F65" s="85" t="s">
        <v>840</v>
      </c>
      <c r="G65" s="74">
        <v>0.05</v>
      </c>
      <c r="H65" s="74" t="s">
        <v>824</v>
      </c>
      <c r="I65" s="74">
        <v>0.02</v>
      </c>
      <c r="J65" s="75" t="s">
        <v>824</v>
      </c>
      <c r="K65" s="75"/>
      <c r="L65" s="75"/>
      <c r="M65" s="75"/>
      <c r="N65" s="75"/>
      <c r="O65" s="75"/>
      <c r="P65" s="75"/>
      <c r="Q65" s="75"/>
      <c r="R65" s="75"/>
      <c r="S65" s="75"/>
      <c r="T65" s="75"/>
      <c r="U65" s="75"/>
      <c r="V65" s="75"/>
      <c r="W65" s="74">
        <v>0.05</v>
      </c>
      <c r="X65" s="75" t="s">
        <v>824</v>
      </c>
      <c r="Y65" s="74">
        <v>0.05</v>
      </c>
      <c r="Z65" s="75"/>
      <c r="AA65" s="74">
        <v>0.02</v>
      </c>
      <c r="AB65" s="75" t="s">
        <v>824</v>
      </c>
      <c r="AC65" s="76">
        <v>0.02</v>
      </c>
      <c r="AD65" s="76" t="s">
        <v>824</v>
      </c>
      <c r="AE65" s="76">
        <v>0.02</v>
      </c>
      <c r="AF65" s="75" t="s">
        <v>824</v>
      </c>
      <c r="AG65" s="79">
        <v>1.4999999999999999E-2</v>
      </c>
      <c r="AH65" s="78">
        <v>1708</v>
      </c>
      <c r="AI65" s="79">
        <v>4.65E-2</v>
      </c>
      <c r="AJ65" s="78">
        <v>5952</v>
      </c>
      <c r="AK65" s="79">
        <v>0.11</v>
      </c>
      <c r="AL65" s="79">
        <v>3.5000000000000003E-2</v>
      </c>
      <c r="AM65" s="80" t="str">
        <f t="shared" si="0"/>
        <v>04.160,0150,04650,11</v>
      </c>
      <c r="AN65" t="str">
        <f t="shared" si="1"/>
        <v>04.160,0150,04650,035</v>
      </c>
    </row>
    <row r="66" spans="2:40" ht="18" customHeight="1">
      <c r="B66" s="71">
        <v>61</v>
      </c>
      <c r="C66" s="81" t="s">
        <v>245</v>
      </c>
      <c r="D66" s="71" t="s">
        <v>902</v>
      </c>
      <c r="E66" s="82" t="s">
        <v>246</v>
      </c>
      <c r="F66" s="85" t="s">
        <v>838</v>
      </c>
      <c r="G66" s="74">
        <v>0.05</v>
      </c>
      <c r="H66" s="74" t="s">
        <v>824</v>
      </c>
      <c r="I66" s="74">
        <v>0.02</v>
      </c>
      <c r="J66" s="75" t="s">
        <v>824</v>
      </c>
      <c r="K66" s="75"/>
      <c r="L66" s="75"/>
      <c r="M66" s="75"/>
      <c r="N66" s="75"/>
      <c r="O66" s="75"/>
      <c r="P66" s="75"/>
      <c r="Q66" s="75"/>
      <c r="R66" s="75"/>
      <c r="S66" s="75"/>
      <c r="T66" s="75"/>
      <c r="U66" s="75"/>
      <c r="V66" s="75"/>
      <c r="W66" s="74">
        <v>0.05</v>
      </c>
      <c r="X66" s="75" t="s">
        <v>824</v>
      </c>
      <c r="Y66" s="74">
        <v>0.05</v>
      </c>
      <c r="Z66" s="75"/>
      <c r="AA66" s="74">
        <v>0.02</v>
      </c>
      <c r="AB66" s="75" t="s">
        <v>824</v>
      </c>
      <c r="AC66" s="76">
        <v>0.02</v>
      </c>
      <c r="AD66" s="76" t="s">
        <v>824</v>
      </c>
      <c r="AE66" s="76">
        <v>0.02</v>
      </c>
      <c r="AF66" s="75" t="s">
        <v>824</v>
      </c>
      <c r="AG66" s="79">
        <v>0</v>
      </c>
      <c r="AH66" s="78">
        <v>0</v>
      </c>
      <c r="AI66" s="79">
        <v>0</v>
      </c>
      <c r="AJ66" s="78">
        <v>0</v>
      </c>
      <c r="AK66" s="79">
        <v>0</v>
      </c>
      <c r="AL66" s="79">
        <v>0</v>
      </c>
      <c r="AM66" s="80" t="str">
        <f t="shared" si="0"/>
        <v>04.17000</v>
      </c>
      <c r="AN66" t="str">
        <f t="shared" si="1"/>
        <v>04.17000</v>
      </c>
    </row>
    <row r="67" spans="2:40" ht="18" customHeight="1">
      <c r="B67" s="71">
        <v>62</v>
      </c>
      <c r="C67" s="81" t="s">
        <v>248</v>
      </c>
      <c r="D67" s="71" t="s">
        <v>903</v>
      </c>
      <c r="E67" s="82" t="s">
        <v>249</v>
      </c>
      <c r="F67" s="85" t="s">
        <v>838</v>
      </c>
      <c r="G67" s="74">
        <v>0.05</v>
      </c>
      <c r="H67" s="74" t="s">
        <v>824</v>
      </c>
      <c r="I67" s="74">
        <v>0.02</v>
      </c>
      <c r="J67" s="75" t="s">
        <v>824</v>
      </c>
      <c r="K67" s="75"/>
      <c r="L67" s="75"/>
      <c r="M67" s="75"/>
      <c r="N67" s="75"/>
      <c r="O67" s="75"/>
      <c r="P67" s="75"/>
      <c r="Q67" s="75"/>
      <c r="R67" s="75"/>
      <c r="S67" s="75"/>
      <c r="T67" s="75"/>
      <c r="U67" s="75"/>
      <c r="V67" s="75"/>
      <c r="W67" s="74">
        <v>0.05</v>
      </c>
      <c r="X67" s="75" t="s">
        <v>824</v>
      </c>
      <c r="Y67" s="74">
        <v>0.05</v>
      </c>
      <c r="Z67" s="75"/>
      <c r="AA67" s="74">
        <v>0.02</v>
      </c>
      <c r="AB67" s="75" t="s">
        <v>824</v>
      </c>
      <c r="AC67" s="76">
        <v>0.02</v>
      </c>
      <c r="AD67" s="76" t="s">
        <v>824</v>
      </c>
      <c r="AE67" s="76">
        <v>0.05</v>
      </c>
      <c r="AF67" s="75" t="s">
        <v>824</v>
      </c>
      <c r="AG67" s="79">
        <v>1.4999999999999999E-2</v>
      </c>
      <c r="AH67" s="78">
        <v>1708</v>
      </c>
      <c r="AI67" s="79">
        <v>4.65E-2</v>
      </c>
      <c r="AJ67" s="78">
        <v>5952</v>
      </c>
      <c r="AK67" s="79">
        <v>0</v>
      </c>
      <c r="AL67" s="79">
        <v>0</v>
      </c>
      <c r="AM67" s="80" t="str">
        <f t="shared" si="0"/>
        <v>04.180,0150,04650</v>
      </c>
      <c r="AN67" t="str">
        <f t="shared" si="1"/>
        <v>04.180,0150,04650</v>
      </c>
    </row>
    <row r="68" spans="2:40" ht="18" customHeight="1">
      <c r="B68" s="71">
        <v>63</v>
      </c>
      <c r="C68" s="81" t="s">
        <v>251</v>
      </c>
      <c r="D68" s="71" t="s">
        <v>904</v>
      </c>
      <c r="E68" s="82" t="s">
        <v>252</v>
      </c>
      <c r="F68" s="85" t="s">
        <v>838</v>
      </c>
      <c r="G68" s="74">
        <v>0.05</v>
      </c>
      <c r="H68" s="74" t="s">
        <v>824</v>
      </c>
      <c r="I68" s="74">
        <v>0.02</v>
      </c>
      <c r="J68" s="75" t="s">
        <v>824</v>
      </c>
      <c r="K68" s="75"/>
      <c r="L68" s="75"/>
      <c r="M68" s="75"/>
      <c r="N68" s="75"/>
      <c r="O68" s="75"/>
      <c r="P68" s="75"/>
      <c r="Q68" s="75"/>
      <c r="R68" s="75"/>
      <c r="S68" s="75"/>
      <c r="T68" s="75"/>
      <c r="U68" s="75"/>
      <c r="V68" s="75"/>
      <c r="W68" s="74">
        <v>0.05</v>
      </c>
      <c r="X68" s="75" t="s">
        <v>824</v>
      </c>
      <c r="Y68" s="74">
        <v>0.05</v>
      </c>
      <c r="Z68" s="75"/>
      <c r="AA68" s="74">
        <v>0.02</v>
      </c>
      <c r="AB68" s="75" t="s">
        <v>824</v>
      </c>
      <c r="AC68" s="76">
        <v>0.02</v>
      </c>
      <c r="AD68" s="76" t="s">
        <v>824</v>
      </c>
      <c r="AE68" s="76">
        <v>0.02</v>
      </c>
      <c r="AF68" s="75" t="s">
        <v>824</v>
      </c>
      <c r="AG68" s="79">
        <v>0</v>
      </c>
      <c r="AH68" s="78">
        <v>0</v>
      </c>
      <c r="AI68" s="79">
        <v>0</v>
      </c>
      <c r="AJ68" s="78">
        <v>0</v>
      </c>
      <c r="AK68" s="79">
        <v>0</v>
      </c>
      <c r="AL68" s="79">
        <v>0</v>
      </c>
      <c r="AM68" s="80" t="str">
        <f t="shared" si="0"/>
        <v>04.19000</v>
      </c>
      <c r="AN68" t="str">
        <f t="shared" si="1"/>
        <v>04.19000</v>
      </c>
    </row>
    <row r="69" spans="2:40" ht="18" customHeight="1">
      <c r="B69" s="71">
        <v>64</v>
      </c>
      <c r="C69" s="81" t="s">
        <v>254</v>
      </c>
      <c r="D69" s="71" t="s">
        <v>905</v>
      </c>
      <c r="E69" s="82" t="s">
        <v>255</v>
      </c>
      <c r="F69" s="85" t="s">
        <v>838</v>
      </c>
      <c r="G69" s="74">
        <v>0.05</v>
      </c>
      <c r="H69" s="74" t="s">
        <v>824</v>
      </c>
      <c r="I69" s="74">
        <v>0.02</v>
      </c>
      <c r="J69" s="75" t="s">
        <v>824</v>
      </c>
      <c r="K69" s="75"/>
      <c r="L69" s="75"/>
      <c r="M69" s="75"/>
      <c r="N69" s="75"/>
      <c r="O69" s="75"/>
      <c r="P69" s="75"/>
      <c r="Q69" s="75"/>
      <c r="R69" s="75"/>
      <c r="S69" s="75"/>
      <c r="T69" s="75"/>
      <c r="U69" s="75"/>
      <c r="V69" s="75"/>
      <c r="W69" s="74">
        <v>0.05</v>
      </c>
      <c r="X69" s="75" t="s">
        <v>824</v>
      </c>
      <c r="Y69" s="74">
        <v>0.05</v>
      </c>
      <c r="Z69" s="75"/>
      <c r="AA69" s="74">
        <v>0.02</v>
      </c>
      <c r="AB69" s="75" t="s">
        <v>824</v>
      </c>
      <c r="AC69" s="76">
        <v>0.02</v>
      </c>
      <c r="AD69" s="76" t="s">
        <v>824</v>
      </c>
      <c r="AE69" s="76">
        <v>0.02</v>
      </c>
      <c r="AF69" s="75" t="s">
        <v>824</v>
      </c>
      <c r="AG69" s="79">
        <v>0</v>
      </c>
      <c r="AH69" s="78">
        <v>0</v>
      </c>
      <c r="AI69" s="79">
        <v>0</v>
      </c>
      <c r="AJ69" s="78">
        <v>0</v>
      </c>
      <c r="AK69" s="79">
        <v>0</v>
      </c>
      <c r="AL69" s="79">
        <v>0</v>
      </c>
      <c r="AM69" s="80" t="str">
        <f t="shared" si="0"/>
        <v>04.20000</v>
      </c>
      <c r="AN69" t="str">
        <f t="shared" si="1"/>
        <v>04.20000</v>
      </c>
    </row>
    <row r="70" spans="2:40" ht="18" customHeight="1">
      <c r="B70" s="71">
        <v>65</v>
      </c>
      <c r="C70" s="81" t="s">
        <v>257</v>
      </c>
      <c r="D70" s="71" t="s">
        <v>906</v>
      </c>
      <c r="E70" s="82" t="s">
        <v>258</v>
      </c>
      <c r="F70" s="85" t="s">
        <v>838</v>
      </c>
      <c r="G70" s="74">
        <v>0.05</v>
      </c>
      <c r="H70" s="74" t="s">
        <v>824</v>
      </c>
      <c r="I70" s="74">
        <v>0.02</v>
      </c>
      <c r="J70" s="75" t="s">
        <v>824</v>
      </c>
      <c r="K70" s="79"/>
      <c r="L70" s="79"/>
      <c r="M70" s="78"/>
      <c r="N70" s="78"/>
      <c r="O70" s="86" t="s">
        <v>825</v>
      </c>
      <c r="P70" s="86"/>
      <c r="Q70" s="79" t="s">
        <v>825</v>
      </c>
      <c r="R70" s="87"/>
      <c r="S70" s="80"/>
      <c r="T70" s="80"/>
      <c r="U70"/>
      <c r="W70" s="74">
        <v>0.05</v>
      </c>
      <c r="X70" s="75" t="s">
        <v>824</v>
      </c>
      <c r="Y70" s="74">
        <v>0.05</v>
      </c>
      <c r="AA70" s="74">
        <v>0.02</v>
      </c>
      <c r="AB70" s="75" t="s">
        <v>824</v>
      </c>
      <c r="AC70" s="76">
        <v>0.02</v>
      </c>
      <c r="AD70" s="76" t="s">
        <v>824</v>
      </c>
      <c r="AE70" s="76">
        <v>0.02</v>
      </c>
      <c r="AF70" s="75" t="s">
        <v>824</v>
      </c>
      <c r="AG70" s="79">
        <v>0</v>
      </c>
      <c r="AH70" s="78">
        <v>0</v>
      </c>
      <c r="AI70" s="79">
        <v>0</v>
      </c>
      <c r="AJ70" s="78">
        <v>0</v>
      </c>
      <c r="AK70" s="79">
        <v>0</v>
      </c>
      <c r="AL70" s="79">
        <v>0</v>
      </c>
      <c r="AM70" s="80" t="str">
        <f t="shared" ref="AM70:AM133" si="2">C70&amp;AG70&amp;AI70&amp;AK70</f>
        <v>04.21000</v>
      </c>
      <c r="AN70" t="str">
        <f t="shared" ref="AN70:AN133" si="3">C70&amp;AG70&amp;AI70&amp;AL70</f>
        <v>04.21000</v>
      </c>
    </row>
    <row r="71" spans="2:40" ht="18" customHeight="1">
      <c r="B71" s="71">
        <v>66</v>
      </c>
      <c r="C71" s="81" t="s">
        <v>257</v>
      </c>
      <c r="D71" s="71" t="s">
        <v>907</v>
      </c>
      <c r="E71" s="82" t="s">
        <v>258</v>
      </c>
      <c r="F71" s="85" t="s">
        <v>840</v>
      </c>
      <c r="G71" s="74">
        <v>0.05</v>
      </c>
      <c r="H71" s="74" t="s">
        <v>824</v>
      </c>
      <c r="I71" s="74">
        <v>0.02</v>
      </c>
      <c r="J71" s="75" t="s">
        <v>824</v>
      </c>
      <c r="K71" s="75"/>
      <c r="L71" s="75"/>
      <c r="M71" s="75"/>
      <c r="N71" s="75"/>
      <c r="O71" s="75"/>
      <c r="P71" s="75"/>
      <c r="Q71" s="75"/>
      <c r="R71" s="75"/>
      <c r="S71" s="75"/>
      <c r="T71" s="75"/>
      <c r="U71" s="75"/>
      <c r="V71" s="75"/>
      <c r="W71" s="74">
        <v>0.05</v>
      </c>
      <c r="X71" s="75" t="s">
        <v>824</v>
      </c>
      <c r="Y71" s="74">
        <v>0.05</v>
      </c>
      <c r="Z71" s="75"/>
      <c r="AA71" s="74">
        <v>0.02</v>
      </c>
      <c r="AB71" s="75" t="s">
        <v>824</v>
      </c>
      <c r="AC71" s="76">
        <v>0.02</v>
      </c>
      <c r="AD71" s="76" t="s">
        <v>824</v>
      </c>
      <c r="AE71" s="76">
        <v>0.02</v>
      </c>
      <c r="AF71" s="75" t="s">
        <v>824</v>
      </c>
      <c r="AG71" s="79">
        <v>0</v>
      </c>
      <c r="AH71" s="78">
        <v>0</v>
      </c>
      <c r="AI71" s="79">
        <v>0</v>
      </c>
      <c r="AJ71" s="78">
        <v>0</v>
      </c>
      <c r="AK71" s="79">
        <v>0.11</v>
      </c>
      <c r="AL71" s="79">
        <v>3.5000000000000003E-2</v>
      </c>
      <c r="AM71" s="80" t="str">
        <f t="shared" si="2"/>
        <v>04.21000,11</v>
      </c>
      <c r="AN71" t="str">
        <f t="shared" si="3"/>
        <v>04.21000,035</v>
      </c>
    </row>
    <row r="72" spans="2:40" ht="18" customHeight="1">
      <c r="B72" s="71">
        <v>67</v>
      </c>
      <c r="C72" s="81" t="s">
        <v>260</v>
      </c>
      <c r="D72" s="71" t="s">
        <v>908</v>
      </c>
      <c r="E72" s="82" t="s">
        <v>261</v>
      </c>
      <c r="F72" s="85" t="s">
        <v>838</v>
      </c>
      <c r="G72" s="74">
        <v>0.04</v>
      </c>
      <c r="H72" s="74" t="s">
        <v>824</v>
      </c>
      <c r="I72" s="74">
        <v>0.02</v>
      </c>
      <c r="J72" s="75" t="s">
        <v>824</v>
      </c>
      <c r="M72"/>
      <c r="U72"/>
      <c r="W72" s="74">
        <v>0.02</v>
      </c>
      <c r="X72" s="75" t="s">
        <v>849</v>
      </c>
      <c r="Y72" s="74">
        <v>0.05</v>
      </c>
      <c r="AA72" s="74">
        <v>0.02</v>
      </c>
      <c r="AB72" s="75" t="s">
        <v>824</v>
      </c>
      <c r="AC72" s="76">
        <v>0.02</v>
      </c>
      <c r="AD72" s="76" t="s">
        <v>824</v>
      </c>
      <c r="AE72" s="76">
        <v>0.05</v>
      </c>
      <c r="AF72" s="75" t="s">
        <v>824</v>
      </c>
      <c r="AG72" s="79">
        <v>1.4999999999999999E-2</v>
      </c>
      <c r="AH72" s="78">
        <v>1708</v>
      </c>
      <c r="AI72" s="79">
        <v>4.65E-2</v>
      </c>
      <c r="AJ72" s="78">
        <v>5952</v>
      </c>
      <c r="AK72" s="79">
        <v>0</v>
      </c>
      <c r="AL72" s="79">
        <v>0</v>
      </c>
      <c r="AM72" s="80" t="str">
        <f t="shared" si="2"/>
        <v>04.220,0150,04650</v>
      </c>
      <c r="AN72" t="str">
        <f t="shared" si="3"/>
        <v>04.220,0150,04650</v>
      </c>
    </row>
    <row r="73" spans="2:40" ht="59.1" customHeight="1">
      <c r="B73" s="71">
        <v>68</v>
      </c>
      <c r="C73" s="81" t="s">
        <v>260</v>
      </c>
      <c r="D73" s="71" t="s">
        <v>909</v>
      </c>
      <c r="E73" s="82" t="s">
        <v>261</v>
      </c>
      <c r="F73" s="85" t="s">
        <v>910</v>
      </c>
      <c r="G73" s="74">
        <v>0.04</v>
      </c>
      <c r="H73" s="74" t="s">
        <v>824</v>
      </c>
      <c r="I73" s="74">
        <v>0.02</v>
      </c>
      <c r="J73" s="75" t="s">
        <v>824</v>
      </c>
      <c r="K73" s="79"/>
      <c r="L73" s="79"/>
      <c r="M73" s="78"/>
      <c r="N73" s="78"/>
      <c r="O73" s="86" t="s">
        <v>825</v>
      </c>
      <c r="P73" s="86"/>
      <c r="Q73" s="79" t="s">
        <v>825</v>
      </c>
      <c r="R73" s="87"/>
      <c r="S73" s="80"/>
      <c r="T73" s="80"/>
      <c r="U73"/>
      <c r="W73" s="74">
        <v>0.02</v>
      </c>
      <c r="X73" s="75" t="s">
        <v>849</v>
      </c>
      <c r="Y73" s="74">
        <v>0.05</v>
      </c>
      <c r="AA73" s="74">
        <v>0.02</v>
      </c>
      <c r="AB73" s="75" t="s">
        <v>824</v>
      </c>
      <c r="AC73" s="76">
        <v>0.02</v>
      </c>
      <c r="AD73" s="76" t="s">
        <v>824</v>
      </c>
      <c r="AE73" s="76">
        <v>0.05</v>
      </c>
      <c r="AF73" s="75" t="s">
        <v>824</v>
      </c>
      <c r="AG73" s="79">
        <v>1.4999999999999999E-2</v>
      </c>
      <c r="AH73" s="78">
        <v>3280</v>
      </c>
      <c r="AI73" s="79">
        <v>3.6499999999999998E-2</v>
      </c>
      <c r="AJ73" s="78">
        <v>5952</v>
      </c>
      <c r="AK73" s="79">
        <v>0</v>
      </c>
      <c r="AL73" s="79">
        <v>0</v>
      </c>
      <c r="AM73" s="80" t="str">
        <f t="shared" si="2"/>
        <v>04.220,0150,03650</v>
      </c>
      <c r="AN73" t="str">
        <f t="shared" si="3"/>
        <v>04.220,0150,03650</v>
      </c>
    </row>
    <row r="74" spans="2:40" ht="18" customHeight="1">
      <c r="B74" s="71">
        <v>69</v>
      </c>
      <c r="C74" s="81" t="s">
        <v>260</v>
      </c>
      <c r="D74" s="71" t="s">
        <v>911</v>
      </c>
      <c r="E74" s="82" t="s">
        <v>261</v>
      </c>
      <c r="F74" s="85" t="s">
        <v>840</v>
      </c>
      <c r="G74" s="74">
        <v>0.04</v>
      </c>
      <c r="H74" s="74" t="s">
        <v>824</v>
      </c>
      <c r="I74" s="74">
        <v>0.02</v>
      </c>
      <c r="J74" s="75" t="s">
        <v>824</v>
      </c>
      <c r="K74" s="75"/>
      <c r="L74" s="75"/>
      <c r="M74" s="75"/>
      <c r="N74" s="75"/>
      <c r="O74" s="75"/>
      <c r="P74" s="75"/>
      <c r="Q74" s="75"/>
      <c r="R74" s="75"/>
      <c r="S74" s="75"/>
      <c r="T74" s="75"/>
      <c r="U74" s="75"/>
      <c r="V74" s="75"/>
      <c r="W74" s="74">
        <v>0.02</v>
      </c>
      <c r="X74" s="75" t="s">
        <v>849</v>
      </c>
      <c r="Y74" s="74">
        <v>0.05</v>
      </c>
      <c r="Z74" s="75"/>
      <c r="AA74" s="74">
        <v>0.02</v>
      </c>
      <c r="AB74" s="75" t="s">
        <v>824</v>
      </c>
      <c r="AC74" s="76">
        <v>0.02</v>
      </c>
      <c r="AD74" s="76" t="s">
        <v>824</v>
      </c>
      <c r="AE74" s="76">
        <v>0.05</v>
      </c>
      <c r="AF74" s="75" t="s">
        <v>824</v>
      </c>
      <c r="AG74" s="79">
        <v>1.4999999999999999E-2</v>
      </c>
      <c r="AH74" s="78">
        <v>1708</v>
      </c>
      <c r="AI74" s="79">
        <v>4.65E-2</v>
      </c>
      <c r="AJ74" s="78">
        <v>5952</v>
      </c>
      <c r="AK74" s="79">
        <v>0.11</v>
      </c>
      <c r="AL74" s="79">
        <v>3.5000000000000003E-2</v>
      </c>
      <c r="AM74" s="80" t="str">
        <f t="shared" si="2"/>
        <v>04.220,0150,04650,11</v>
      </c>
      <c r="AN74" t="str">
        <f t="shared" si="3"/>
        <v>04.220,0150,04650,035</v>
      </c>
    </row>
    <row r="75" spans="2:40" ht="18" customHeight="1">
      <c r="B75" s="71">
        <v>70</v>
      </c>
      <c r="C75" s="81" t="s">
        <v>263</v>
      </c>
      <c r="D75" s="71" t="s">
        <v>912</v>
      </c>
      <c r="E75" s="82" t="s">
        <v>264</v>
      </c>
      <c r="F75" s="85" t="s">
        <v>838</v>
      </c>
      <c r="G75" s="74">
        <v>0.04</v>
      </c>
      <c r="H75" s="74" t="s">
        <v>824</v>
      </c>
      <c r="I75" s="74">
        <v>0.02</v>
      </c>
      <c r="J75" s="75" t="s">
        <v>824</v>
      </c>
      <c r="K75" s="75"/>
      <c r="L75" s="75"/>
      <c r="M75" s="75"/>
      <c r="N75" s="75"/>
      <c r="O75" s="75"/>
      <c r="P75" s="75"/>
      <c r="Q75" s="75"/>
      <c r="R75" s="75"/>
      <c r="S75" s="75"/>
      <c r="T75" s="75"/>
      <c r="U75" s="75"/>
      <c r="V75" s="75"/>
      <c r="W75" s="74">
        <v>0.05</v>
      </c>
      <c r="X75" s="75" t="s">
        <v>824</v>
      </c>
      <c r="Y75" s="74">
        <v>0.05</v>
      </c>
      <c r="Z75" s="75"/>
      <c r="AA75" s="74">
        <v>0.02</v>
      </c>
      <c r="AB75" s="75" t="s">
        <v>824</v>
      </c>
      <c r="AC75" s="76">
        <v>0.02</v>
      </c>
      <c r="AD75" s="76" t="s">
        <v>824</v>
      </c>
      <c r="AE75" s="76">
        <v>0.03</v>
      </c>
      <c r="AF75" s="75" t="s">
        <v>824</v>
      </c>
      <c r="AG75" s="79">
        <v>0</v>
      </c>
      <c r="AH75" s="78">
        <v>0</v>
      </c>
      <c r="AI75" s="79">
        <v>0</v>
      </c>
      <c r="AJ75" s="78">
        <v>0</v>
      </c>
      <c r="AK75" s="79">
        <v>0</v>
      </c>
      <c r="AL75" s="79">
        <v>0</v>
      </c>
      <c r="AM75" s="80" t="str">
        <f t="shared" si="2"/>
        <v>04.23000</v>
      </c>
      <c r="AN75" t="str">
        <f t="shared" si="3"/>
        <v>04.23000</v>
      </c>
    </row>
    <row r="76" spans="2:40" ht="18" customHeight="1">
      <c r="B76" s="71">
        <v>71</v>
      </c>
      <c r="C76" s="81" t="s">
        <v>263</v>
      </c>
      <c r="D76" s="71" t="s">
        <v>913</v>
      </c>
      <c r="E76" s="82" t="s">
        <v>264</v>
      </c>
      <c r="F76" s="85" t="s">
        <v>914</v>
      </c>
      <c r="G76" s="74">
        <v>0.04</v>
      </c>
      <c r="H76" s="74" t="s">
        <v>824</v>
      </c>
      <c r="I76" s="74">
        <v>0.02</v>
      </c>
      <c r="J76" s="75" t="s">
        <v>824</v>
      </c>
      <c r="K76" s="75"/>
      <c r="L76" s="75"/>
      <c r="M76" s="75"/>
      <c r="N76" s="75"/>
      <c r="O76" s="75"/>
      <c r="P76" s="75"/>
      <c r="Q76" s="75"/>
      <c r="R76" s="75"/>
      <c r="S76" s="75"/>
      <c r="T76" s="75"/>
      <c r="U76" s="75"/>
      <c r="V76" s="75"/>
      <c r="W76" s="74">
        <v>0.05</v>
      </c>
      <c r="X76" s="75" t="s">
        <v>824</v>
      </c>
      <c r="Y76" s="74">
        <v>0.05</v>
      </c>
      <c r="Z76" s="75"/>
      <c r="AA76" s="74">
        <v>0.02</v>
      </c>
      <c r="AB76" s="75" t="s">
        <v>824</v>
      </c>
      <c r="AC76" s="76">
        <v>0.02</v>
      </c>
      <c r="AD76" s="76" t="s">
        <v>824</v>
      </c>
      <c r="AE76" s="76">
        <v>0.03</v>
      </c>
      <c r="AF76" s="75" t="s">
        <v>824</v>
      </c>
      <c r="AG76" s="79">
        <v>0</v>
      </c>
      <c r="AH76" s="78">
        <v>0</v>
      </c>
      <c r="AI76" s="79" t="s">
        <v>915</v>
      </c>
      <c r="AJ76" s="78" t="s">
        <v>916</v>
      </c>
      <c r="AK76" s="79">
        <v>0</v>
      </c>
      <c r="AL76" s="79">
        <v>0</v>
      </c>
      <c r="AM76" s="80" t="str">
        <f t="shared" si="2"/>
        <v>04.2300,65% e 3%0</v>
      </c>
      <c r="AN76" t="str">
        <f t="shared" si="3"/>
        <v>04.2300,65% e 3%0</v>
      </c>
    </row>
    <row r="77" spans="2:40" ht="18" customHeight="1">
      <c r="B77" s="71">
        <v>72</v>
      </c>
      <c r="C77" s="81" t="s">
        <v>263</v>
      </c>
      <c r="D77" s="71" t="s">
        <v>917</v>
      </c>
      <c r="E77" s="82" t="s">
        <v>264</v>
      </c>
      <c r="F77" s="85" t="s">
        <v>914</v>
      </c>
      <c r="G77" s="74">
        <v>0.04</v>
      </c>
      <c r="H77" s="74" t="s">
        <v>824</v>
      </c>
      <c r="I77" s="74">
        <v>0.02</v>
      </c>
      <c r="J77" s="75" t="s">
        <v>824</v>
      </c>
      <c r="K77" s="75"/>
      <c r="L77" s="75"/>
      <c r="M77" s="75"/>
      <c r="N77" s="75"/>
      <c r="O77" s="75"/>
      <c r="P77" s="75"/>
      <c r="Q77" s="75"/>
      <c r="R77" s="75"/>
      <c r="S77" s="75"/>
      <c r="T77" s="75"/>
      <c r="U77" s="75"/>
      <c r="V77" s="75"/>
      <c r="W77" s="74">
        <v>0.05</v>
      </c>
      <c r="X77" s="75" t="s">
        <v>824</v>
      </c>
      <c r="Y77" s="74">
        <v>0.05</v>
      </c>
      <c r="Z77" s="75"/>
      <c r="AA77" s="74">
        <v>0.02</v>
      </c>
      <c r="AB77" s="75" t="s">
        <v>824</v>
      </c>
      <c r="AC77" s="76">
        <v>0.02</v>
      </c>
      <c r="AD77" s="76" t="s">
        <v>824</v>
      </c>
      <c r="AE77" s="76">
        <v>0.03</v>
      </c>
      <c r="AF77" s="75" t="s">
        <v>824</v>
      </c>
      <c r="AG77" s="79">
        <v>1.4999999999999999E-2</v>
      </c>
      <c r="AH77" s="78">
        <v>1708</v>
      </c>
      <c r="AI77" s="79">
        <v>0</v>
      </c>
      <c r="AJ77" s="78">
        <v>0</v>
      </c>
      <c r="AK77" s="79">
        <v>0</v>
      </c>
      <c r="AL77" s="79">
        <v>0</v>
      </c>
      <c r="AM77" s="80" t="str">
        <f t="shared" si="2"/>
        <v>04.230,01500</v>
      </c>
      <c r="AN77" t="str">
        <f t="shared" si="3"/>
        <v>04.230,01500</v>
      </c>
    </row>
    <row r="78" spans="2:40" ht="18" customHeight="1">
      <c r="B78" s="71">
        <v>73</v>
      </c>
      <c r="C78" s="81" t="s">
        <v>266</v>
      </c>
      <c r="D78" s="71" t="s">
        <v>918</v>
      </c>
      <c r="E78" s="82" t="s">
        <v>267</v>
      </c>
      <c r="F78" s="85" t="s">
        <v>838</v>
      </c>
      <c r="G78" s="74">
        <v>0.05</v>
      </c>
      <c r="H78" s="74" t="s">
        <v>824</v>
      </c>
      <c r="I78" s="74">
        <v>0.02</v>
      </c>
      <c r="J78" s="75" t="s">
        <v>824</v>
      </c>
      <c r="K78" s="75"/>
      <c r="L78" s="75"/>
      <c r="M78" s="75"/>
      <c r="N78" s="75"/>
      <c r="O78" s="75"/>
      <c r="P78" s="75"/>
      <c r="Q78" s="75"/>
      <c r="R78" s="75"/>
      <c r="S78" s="75"/>
      <c r="T78" s="75"/>
      <c r="U78" s="75"/>
      <c r="V78" s="75"/>
      <c r="W78" s="74">
        <v>0.05</v>
      </c>
      <c r="X78" s="75" t="s">
        <v>824</v>
      </c>
      <c r="Y78" s="74">
        <v>0.05</v>
      </c>
      <c r="Z78" s="75"/>
      <c r="AA78" s="74">
        <v>0.02</v>
      </c>
      <c r="AB78" s="75" t="s">
        <v>824</v>
      </c>
      <c r="AC78" s="76">
        <v>0.02</v>
      </c>
      <c r="AD78" s="76" t="s">
        <v>824</v>
      </c>
      <c r="AE78" s="76">
        <v>0.03</v>
      </c>
      <c r="AF78" s="75" t="s">
        <v>824</v>
      </c>
      <c r="AG78" s="79">
        <v>1.4999999999999999E-2</v>
      </c>
      <c r="AH78" s="78">
        <v>1708</v>
      </c>
      <c r="AI78" s="79">
        <v>4.65E-2</v>
      </c>
      <c r="AJ78" s="78">
        <v>5952</v>
      </c>
      <c r="AK78" s="79">
        <v>0</v>
      </c>
      <c r="AL78" s="79">
        <v>0</v>
      </c>
      <c r="AM78" s="80" t="str">
        <f t="shared" si="2"/>
        <v>05.010,0150,04650</v>
      </c>
      <c r="AN78" t="str">
        <f t="shared" si="3"/>
        <v>05.010,0150,04650</v>
      </c>
    </row>
    <row r="79" spans="2:40" ht="18" customHeight="1">
      <c r="B79" s="71">
        <v>74</v>
      </c>
      <c r="C79" s="81" t="s">
        <v>269</v>
      </c>
      <c r="D79" s="71" t="s">
        <v>919</v>
      </c>
      <c r="E79" s="82" t="s">
        <v>270</v>
      </c>
      <c r="F79" s="85" t="s">
        <v>838</v>
      </c>
      <c r="G79" s="74">
        <v>0.05</v>
      </c>
      <c r="H79" s="74" t="s">
        <v>824</v>
      </c>
      <c r="I79" s="74">
        <v>0.02</v>
      </c>
      <c r="J79" s="75" t="s">
        <v>824</v>
      </c>
      <c r="K79" s="75"/>
      <c r="L79" s="75"/>
      <c r="M79" s="75"/>
      <c r="N79" s="75"/>
      <c r="O79" s="75"/>
      <c r="P79" s="75"/>
      <c r="Q79" s="75"/>
      <c r="R79" s="75"/>
      <c r="S79" s="75"/>
      <c r="T79" s="75"/>
      <c r="U79" s="75"/>
      <c r="V79" s="75"/>
      <c r="W79" s="74">
        <v>0.05</v>
      </c>
      <c r="X79" s="75" t="s">
        <v>824</v>
      </c>
      <c r="Y79" s="74">
        <v>0.05</v>
      </c>
      <c r="Z79" s="75"/>
      <c r="AA79" s="74">
        <v>0.02</v>
      </c>
      <c r="AB79" s="75" t="s">
        <v>824</v>
      </c>
      <c r="AC79" s="76">
        <v>0.02</v>
      </c>
      <c r="AD79" s="76" t="s">
        <v>824</v>
      </c>
      <c r="AE79" s="76">
        <v>0.03</v>
      </c>
      <c r="AF79" s="75" t="s">
        <v>824</v>
      </c>
      <c r="AG79" s="79">
        <v>1.4999999999999999E-2</v>
      </c>
      <c r="AH79" s="78">
        <v>1708</v>
      </c>
      <c r="AI79" s="79">
        <v>4.65E-2</v>
      </c>
      <c r="AJ79" s="78">
        <v>5952</v>
      </c>
      <c r="AK79" s="79">
        <v>0</v>
      </c>
      <c r="AL79" s="79">
        <v>0</v>
      </c>
      <c r="AM79" s="80" t="str">
        <f t="shared" si="2"/>
        <v>05.020,0150,04650</v>
      </c>
      <c r="AN79" t="str">
        <f t="shared" si="3"/>
        <v>05.020,0150,04650</v>
      </c>
    </row>
    <row r="80" spans="2:40" ht="18" customHeight="1">
      <c r="B80" s="71">
        <v>75</v>
      </c>
      <c r="C80" s="81" t="s">
        <v>272</v>
      </c>
      <c r="D80" s="71" t="s">
        <v>920</v>
      </c>
      <c r="E80" s="82" t="s">
        <v>273</v>
      </c>
      <c r="F80" s="85" t="s">
        <v>838</v>
      </c>
      <c r="G80" s="74">
        <v>0.05</v>
      </c>
      <c r="H80" s="74" t="s">
        <v>824</v>
      </c>
      <c r="I80" s="74">
        <v>0.02</v>
      </c>
      <c r="J80" s="75" t="s">
        <v>824</v>
      </c>
      <c r="K80" s="75"/>
      <c r="L80" s="75"/>
      <c r="M80" s="75"/>
      <c r="N80" s="75"/>
      <c r="O80" s="75"/>
      <c r="P80" s="75"/>
      <c r="Q80" s="75"/>
      <c r="R80" s="75"/>
      <c r="S80" s="75"/>
      <c r="T80" s="75"/>
      <c r="U80" s="75"/>
      <c r="V80" s="75"/>
      <c r="W80" s="74">
        <v>0.05</v>
      </c>
      <c r="X80" s="75" t="s">
        <v>824</v>
      </c>
      <c r="Y80" s="74">
        <v>0.05</v>
      </c>
      <c r="Z80" s="75"/>
      <c r="AA80" s="74">
        <v>0.02</v>
      </c>
      <c r="AB80" s="75" t="s">
        <v>824</v>
      </c>
      <c r="AC80" s="76">
        <v>0.02</v>
      </c>
      <c r="AD80" s="76" t="s">
        <v>824</v>
      </c>
      <c r="AE80" s="76">
        <v>0.03</v>
      </c>
      <c r="AF80" s="75" t="s">
        <v>824</v>
      </c>
      <c r="AG80" s="79">
        <v>1.4999999999999999E-2</v>
      </c>
      <c r="AH80" s="78">
        <v>1708</v>
      </c>
      <c r="AI80" s="79">
        <v>4.65E-2</v>
      </c>
      <c r="AJ80" s="78">
        <v>5952</v>
      </c>
      <c r="AK80" s="79">
        <v>0</v>
      </c>
      <c r="AL80" s="79">
        <v>0</v>
      </c>
      <c r="AM80" s="80" t="str">
        <f t="shared" si="2"/>
        <v>05.030,0150,04650</v>
      </c>
      <c r="AN80" t="str">
        <f t="shared" si="3"/>
        <v>05.030,0150,04650</v>
      </c>
    </row>
    <row r="81" spans="2:40" ht="18" customHeight="1">
      <c r="B81" s="71">
        <v>76</v>
      </c>
      <c r="C81" s="81" t="s">
        <v>275</v>
      </c>
      <c r="D81" s="71" t="s">
        <v>921</v>
      </c>
      <c r="E81" s="82" t="s">
        <v>249</v>
      </c>
      <c r="F81" s="85" t="s">
        <v>838</v>
      </c>
      <c r="G81" s="74">
        <v>0.05</v>
      </c>
      <c r="H81" s="74" t="s">
        <v>824</v>
      </c>
      <c r="I81" s="74">
        <v>0.02</v>
      </c>
      <c r="J81" s="75" t="s">
        <v>824</v>
      </c>
      <c r="K81" s="75"/>
      <c r="L81" s="75"/>
      <c r="M81" s="75"/>
      <c r="N81" s="75"/>
      <c r="O81" s="75"/>
      <c r="P81" s="75"/>
      <c r="Q81" s="75"/>
      <c r="R81" s="75"/>
      <c r="S81" s="75"/>
      <c r="T81" s="75"/>
      <c r="U81" s="75"/>
      <c r="V81" s="75"/>
      <c r="W81" s="74">
        <v>0.05</v>
      </c>
      <c r="X81" s="75" t="s">
        <v>824</v>
      </c>
      <c r="Y81" s="74">
        <v>0.05</v>
      </c>
      <c r="Z81" s="75"/>
      <c r="AA81" s="74">
        <v>0.02</v>
      </c>
      <c r="AB81" s="75" t="s">
        <v>824</v>
      </c>
      <c r="AC81" s="76">
        <v>0.02</v>
      </c>
      <c r="AD81" s="76" t="s">
        <v>824</v>
      </c>
      <c r="AE81" s="76">
        <v>0.05</v>
      </c>
      <c r="AF81" s="75" t="s">
        <v>824</v>
      </c>
      <c r="AG81" s="79">
        <v>1.4999999999999999E-2</v>
      </c>
      <c r="AH81" s="78">
        <v>1708</v>
      </c>
      <c r="AI81" s="79">
        <v>4.65E-2</v>
      </c>
      <c r="AJ81" s="78">
        <v>5952</v>
      </c>
      <c r="AK81" s="79">
        <v>0</v>
      </c>
      <c r="AL81" s="79">
        <v>0</v>
      </c>
      <c r="AM81" s="80" t="str">
        <f t="shared" si="2"/>
        <v>05.040,0150,04650</v>
      </c>
      <c r="AN81" t="str">
        <f t="shared" si="3"/>
        <v>05.040,0150,04650</v>
      </c>
    </row>
    <row r="82" spans="2:40" ht="18" customHeight="1">
      <c r="B82" s="71">
        <v>77</v>
      </c>
      <c r="C82" s="81" t="s">
        <v>277</v>
      </c>
      <c r="D82" s="71" t="s">
        <v>922</v>
      </c>
      <c r="E82" s="82" t="s">
        <v>278</v>
      </c>
      <c r="F82" s="85" t="s">
        <v>838</v>
      </c>
      <c r="G82" s="74">
        <v>0.05</v>
      </c>
      <c r="H82" s="74" t="s">
        <v>824</v>
      </c>
      <c r="I82" s="74">
        <v>0.02</v>
      </c>
      <c r="J82" s="75" t="s">
        <v>824</v>
      </c>
      <c r="K82" s="79"/>
      <c r="L82" s="79"/>
      <c r="M82" s="78"/>
      <c r="N82" s="78"/>
      <c r="O82" s="75"/>
      <c r="P82" s="75"/>
      <c r="Q82" s="75"/>
      <c r="R82" s="75"/>
      <c r="S82" s="75"/>
      <c r="T82" s="75"/>
      <c r="U82" s="75"/>
      <c r="V82" s="75"/>
      <c r="W82" s="74">
        <v>0.05</v>
      </c>
      <c r="X82" s="75" t="s">
        <v>824</v>
      </c>
      <c r="Y82" s="74">
        <v>0.05</v>
      </c>
      <c r="Z82" s="75"/>
      <c r="AA82" s="74">
        <v>0.02</v>
      </c>
      <c r="AB82" s="75" t="s">
        <v>824</v>
      </c>
      <c r="AC82" s="76">
        <v>0.02</v>
      </c>
      <c r="AD82" s="76" t="s">
        <v>824</v>
      </c>
      <c r="AE82" s="76">
        <v>0.05</v>
      </c>
      <c r="AF82" s="75" t="s">
        <v>824</v>
      </c>
      <c r="AG82" s="79">
        <v>1.4999999999999999E-2</v>
      </c>
      <c r="AH82" s="78">
        <v>1708</v>
      </c>
      <c r="AI82" s="79">
        <v>4.65E-2</v>
      </c>
      <c r="AJ82" s="78">
        <v>5952</v>
      </c>
      <c r="AK82" s="79">
        <v>0</v>
      </c>
      <c r="AL82" s="79">
        <v>0</v>
      </c>
      <c r="AM82" s="80" t="str">
        <f t="shared" si="2"/>
        <v>05.050,0150,04650</v>
      </c>
      <c r="AN82" t="str">
        <f t="shared" si="3"/>
        <v>05.050,0150,04650</v>
      </c>
    </row>
    <row r="83" spans="2:40" ht="18" customHeight="1">
      <c r="B83" s="71">
        <v>78</v>
      </c>
      <c r="C83" s="81" t="s">
        <v>280</v>
      </c>
      <c r="D83" s="71" t="s">
        <v>923</v>
      </c>
      <c r="E83" s="82" t="s">
        <v>255</v>
      </c>
      <c r="F83" s="85" t="s">
        <v>838</v>
      </c>
      <c r="G83" s="74">
        <v>0.05</v>
      </c>
      <c r="H83" s="74" t="s">
        <v>824</v>
      </c>
      <c r="I83" s="74">
        <v>0.02</v>
      </c>
      <c r="J83" s="75" t="s">
        <v>824</v>
      </c>
      <c r="K83" s="75"/>
      <c r="L83" s="75"/>
      <c r="M83" s="75"/>
      <c r="N83" s="75"/>
      <c r="O83" s="75"/>
      <c r="P83" s="75"/>
      <c r="Q83" s="75"/>
      <c r="R83" s="75"/>
      <c r="S83" s="75"/>
      <c r="T83" s="75"/>
      <c r="U83" s="75"/>
      <c r="V83" s="75"/>
      <c r="W83" s="74">
        <v>0.05</v>
      </c>
      <c r="X83" s="75" t="s">
        <v>824</v>
      </c>
      <c r="Y83" s="74">
        <v>0.05</v>
      </c>
      <c r="Z83" s="75"/>
      <c r="AA83" s="74">
        <v>0.02</v>
      </c>
      <c r="AB83" s="75" t="s">
        <v>824</v>
      </c>
      <c r="AC83" s="76">
        <v>0.02</v>
      </c>
      <c r="AD83" s="76" t="s">
        <v>824</v>
      </c>
      <c r="AE83" s="76">
        <v>0.05</v>
      </c>
      <c r="AF83" s="75" t="s">
        <v>824</v>
      </c>
      <c r="AG83" s="79">
        <v>1.4999999999999999E-2</v>
      </c>
      <c r="AH83" s="78">
        <v>1708</v>
      </c>
      <c r="AI83" s="79">
        <v>4.65E-2</v>
      </c>
      <c r="AJ83" s="78">
        <v>5952</v>
      </c>
      <c r="AK83" s="79">
        <v>0</v>
      </c>
      <c r="AL83" s="79">
        <v>0</v>
      </c>
      <c r="AM83" s="80" t="str">
        <f t="shared" si="2"/>
        <v>05.060,0150,04650</v>
      </c>
      <c r="AN83" t="str">
        <f t="shared" si="3"/>
        <v>05.060,0150,04650</v>
      </c>
    </row>
    <row r="84" spans="2:40" ht="18" customHeight="1">
      <c r="B84" s="71">
        <v>79</v>
      </c>
      <c r="C84" s="81" t="s">
        <v>282</v>
      </c>
      <c r="D84" s="71" t="s">
        <v>924</v>
      </c>
      <c r="E84" s="82" t="s">
        <v>258</v>
      </c>
      <c r="F84" s="85" t="s">
        <v>838</v>
      </c>
      <c r="G84" s="74">
        <v>0.05</v>
      </c>
      <c r="H84" s="74" t="s">
        <v>824</v>
      </c>
      <c r="I84" s="74">
        <v>0.02</v>
      </c>
      <c r="J84" s="75" t="s">
        <v>824</v>
      </c>
      <c r="K84" s="75"/>
      <c r="L84" s="75"/>
      <c r="M84" s="75"/>
      <c r="N84" s="75"/>
      <c r="O84" s="75"/>
      <c r="P84" s="75"/>
      <c r="Q84" s="75"/>
      <c r="R84" s="75"/>
      <c r="S84" s="75"/>
      <c r="T84" s="75"/>
      <c r="U84" s="75"/>
      <c r="V84" s="75"/>
      <c r="W84" s="74">
        <v>0.05</v>
      </c>
      <c r="X84" s="75" t="s">
        <v>824</v>
      </c>
      <c r="Y84" s="74">
        <v>0.05</v>
      </c>
      <c r="Z84" s="75"/>
      <c r="AA84" s="74">
        <v>0.02</v>
      </c>
      <c r="AB84" s="75" t="s">
        <v>824</v>
      </c>
      <c r="AC84" s="76">
        <v>0.02</v>
      </c>
      <c r="AD84" s="76" t="s">
        <v>824</v>
      </c>
      <c r="AE84" s="76">
        <v>0.05</v>
      </c>
      <c r="AF84" s="75" t="s">
        <v>824</v>
      </c>
      <c r="AG84" s="79">
        <v>1.4999999999999999E-2</v>
      </c>
      <c r="AH84" s="78">
        <v>1708</v>
      </c>
      <c r="AI84" s="79">
        <v>4.65E-2</v>
      </c>
      <c r="AJ84" s="78">
        <v>5952</v>
      </c>
      <c r="AK84" s="79">
        <v>0</v>
      </c>
      <c r="AL84" s="79">
        <v>0</v>
      </c>
      <c r="AM84" s="80" t="str">
        <f t="shared" si="2"/>
        <v>05.070,0150,04650</v>
      </c>
      <c r="AN84" t="str">
        <f t="shared" si="3"/>
        <v>05.070,0150,04650</v>
      </c>
    </row>
    <row r="85" spans="2:40" ht="18" customHeight="1">
      <c r="B85" s="71">
        <v>80</v>
      </c>
      <c r="C85" s="81" t="s">
        <v>284</v>
      </c>
      <c r="D85" s="71" t="s">
        <v>925</v>
      </c>
      <c r="E85" s="82" t="s">
        <v>285</v>
      </c>
      <c r="F85" s="85" t="s">
        <v>838</v>
      </c>
      <c r="G85" s="74">
        <v>0.05</v>
      </c>
      <c r="H85" s="74" t="s">
        <v>824</v>
      </c>
      <c r="I85" s="74">
        <v>0.02</v>
      </c>
      <c r="J85" s="75" t="s">
        <v>824</v>
      </c>
      <c r="K85" s="75"/>
      <c r="L85" s="75"/>
      <c r="M85" s="75"/>
      <c r="N85" s="75"/>
      <c r="O85" s="75"/>
      <c r="P85" s="75"/>
      <c r="Q85" s="75"/>
      <c r="R85" s="75"/>
      <c r="S85" s="75"/>
      <c r="T85" s="75"/>
      <c r="U85" s="75"/>
      <c r="V85" s="75"/>
      <c r="W85" s="74">
        <v>0.05</v>
      </c>
      <c r="X85" s="75" t="s">
        <v>824</v>
      </c>
      <c r="Y85" s="74">
        <v>0.05</v>
      </c>
      <c r="Z85" s="75"/>
      <c r="AA85" s="74">
        <v>0.02</v>
      </c>
      <c r="AB85" s="75" t="s">
        <v>824</v>
      </c>
      <c r="AC85" s="76">
        <v>0.02</v>
      </c>
      <c r="AD85" s="76" t="s">
        <v>824</v>
      </c>
      <c r="AE85" s="76">
        <v>0.03</v>
      </c>
      <c r="AF85" s="75" t="s">
        <v>824</v>
      </c>
      <c r="AG85" s="79">
        <v>1.4999999999999999E-2</v>
      </c>
      <c r="AH85" s="78">
        <v>1708</v>
      </c>
      <c r="AI85" s="79">
        <v>4.65E-2</v>
      </c>
      <c r="AJ85" s="78">
        <v>5952</v>
      </c>
      <c r="AK85" s="79">
        <v>0</v>
      </c>
      <c r="AL85" s="79">
        <v>0</v>
      </c>
      <c r="AM85" s="80" t="str">
        <f t="shared" si="2"/>
        <v>05.080,0150,04650</v>
      </c>
      <c r="AN85" t="str">
        <f t="shared" si="3"/>
        <v>05.080,0150,04650</v>
      </c>
    </row>
    <row r="86" spans="2:40" ht="18" customHeight="1">
      <c r="B86" s="71">
        <v>81</v>
      </c>
      <c r="C86" s="81" t="s">
        <v>287</v>
      </c>
      <c r="D86" s="71" t="s">
        <v>926</v>
      </c>
      <c r="E86" s="82" t="s">
        <v>288</v>
      </c>
      <c r="F86" s="85" t="s">
        <v>838</v>
      </c>
      <c r="G86" s="74">
        <v>0.02</v>
      </c>
      <c r="H86" s="74" t="s">
        <v>824</v>
      </c>
      <c r="I86" s="74">
        <v>0.02</v>
      </c>
      <c r="J86" s="75" t="s">
        <v>824</v>
      </c>
      <c r="K86" s="75"/>
      <c r="L86" s="75"/>
      <c r="M86" s="75"/>
      <c r="N86" s="75"/>
      <c r="O86" s="75"/>
      <c r="P86" s="75"/>
      <c r="Q86" s="75"/>
      <c r="R86" s="75"/>
      <c r="S86" s="75"/>
      <c r="T86" s="75"/>
      <c r="U86" s="75"/>
      <c r="V86" s="75"/>
      <c r="W86" s="74">
        <v>0.05</v>
      </c>
      <c r="X86" s="75" t="s">
        <v>824</v>
      </c>
      <c r="Y86" s="74">
        <v>0.05</v>
      </c>
      <c r="Z86" s="75"/>
      <c r="AA86" s="74">
        <v>0.02</v>
      </c>
      <c r="AB86" s="75" t="s">
        <v>824</v>
      </c>
      <c r="AC86" s="76">
        <v>0.02</v>
      </c>
      <c r="AD86" s="76" t="s">
        <v>824</v>
      </c>
      <c r="AE86" s="76">
        <v>0.05</v>
      </c>
      <c r="AF86" s="75" t="s">
        <v>824</v>
      </c>
      <c r="AG86" s="79">
        <v>1.4999999999999999E-2</v>
      </c>
      <c r="AH86" s="78">
        <v>1708</v>
      </c>
      <c r="AI86" s="79">
        <v>4.65E-2</v>
      </c>
      <c r="AJ86" s="78">
        <v>5952</v>
      </c>
      <c r="AK86" s="79">
        <v>0</v>
      </c>
      <c r="AL86" s="79">
        <v>0</v>
      </c>
      <c r="AM86" s="80" t="str">
        <f t="shared" si="2"/>
        <v>05.090,0150,04650</v>
      </c>
      <c r="AN86" t="str">
        <f t="shared" si="3"/>
        <v>05.090,0150,04650</v>
      </c>
    </row>
    <row r="87" spans="2:40" ht="18" customHeight="1">
      <c r="B87" s="71">
        <v>82</v>
      </c>
      <c r="C87" s="81" t="s">
        <v>290</v>
      </c>
      <c r="D87" s="71" t="s">
        <v>927</v>
      </c>
      <c r="E87" s="82" t="s">
        <v>291</v>
      </c>
      <c r="F87" s="85" t="s">
        <v>838</v>
      </c>
      <c r="G87" s="74">
        <v>0.05</v>
      </c>
      <c r="H87" s="74" t="s">
        <v>824</v>
      </c>
      <c r="I87" s="74">
        <v>0.05</v>
      </c>
      <c r="J87" s="75" t="s">
        <v>824</v>
      </c>
      <c r="K87" s="75"/>
      <c r="L87" s="75"/>
      <c r="M87" s="75"/>
      <c r="N87" s="75"/>
      <c r="O87" s="75"/>
      <c r="P87" s="75"/>
      <c r="Q87" s="75"/>
      <c r="R87" s="75"/>
      <c r="S87" s="75"/>
      <c r="T87" s="75"/>
      <c r="U87" s="75"/>
      <c r="V87" s="75"/>
      <c r="W87" s="74">
        <v>0.05</v>
      </c>
      <c r="X87" s="75" t="s">
        <v>824</v>
      </c>
      <c r="Y87" s="74">
        <v>0.05</v>
      </c>
      <c r="Z87" s="75"/>
      <c r="AA87" s="74">
        <v>0.05</v>
      </c>
      <c r="AB87" s="75" t="s">
        <v>824</v>
      </c>
      <c r="AC87" s="76">
        <v>0.02</v>
      </c>
      <c r="AD87" s="76" t="s">
        <v>824</v>
      </c>
      <c r="AE87" s="76">
        <v>0.02</v>
      </c>
      <c r="AF87" s="75" t="s">
        <v>824</v>
      </c>
      <c r="AG87" s="79">
        <v>0</v>
      </c>
      <c r="AH87" s="78">
        <v>0</v>
      </c>
      <c r="AI87" s="79">
        <v>0</v>
      </c>
      <c r="AJ87" s="78">
        <v>0</v>
      </c>
      <c r="AK87" s="79">
        <v>0</v>
      </c>
      <c r="AL87" s="79">
        <v>0</v>
      </c>
      <c r="AM87" s="80" t="str">
        <f t="shared" si="2"/>
        <v>06.01000</v>
      </c>
      <c r="AN87" t="str">
        <f t="shared" si="3"/>
        <v>06.01000</v>
      </c>
    </row>
    <row r="88" spans="2:40" ht="18" customHeight="1">
      <c r="B88" s="71">
        <v>83</v>
      </c>
      <c r="C88" s="81" t="s">
        <v>293</v>
      </c>
      <c r="D88" s="71" t="s">
        <v>928</v>
      </c>
      <c r="E88" s="82" t="s">
        <v>294</v>
      </c>
      <c r="F88" s="85" t="s">
        <v>838</v>
      </c>
      <c r="G88" s="74">
        <v>0.05</v>
      </c>
      <c r="H88" s="74" t="s">
        <v>824</v>
      </c>
      <c r="I88" s="74">
        <v>0.05</v>
      </c>
      <c r="J88" s="75" t="s">
        <v>824</v>
      </c>
      <c r="K88" s="75"/>
      <c r="L88" s="75"/>
      <c r="M88" s="75"/>
      <c r="N88" s="75"/>
      <c r="O88" s="75"/>
      <c r="P88" s="75"/>
      <c r="Q88" s="75"/>
      <c r="R88" s="75"/>
      <c r="S88" s="75"/>
      <c r="T88" s="75"/>
      <c r="U88" s="75"/>
      <c r="V88" s="75"/>
      <c r="W88" s="74">
        <v>0.05</v>
      </c>
      <c r="X88" s="75" t="s">
        <v>824</v>
      </c>
      <c r="Y88" s="74">
        <v>0.05</v>
      </c>
      <c r="Z88" s="75"/>
      <c r="AA88" s="74">
        <v>0.05</v>
      </c>
      <c r="AB88" s="75" t="s">
        <v>824</v>
      </c>
      <c r="AC88" s="76">
        <v>0.05</v>
      </c>
      <c r="AD88" s="76" t="s">
        <v>824</v>
      </c>
      <c r="AE88" s="76">
        <v>0.02</v>
      </c>
      <c r="AF88" s="75" t="s">
        <v>824</v>
      </c>
      <c r="AG88" s="79">
        <v>1.4999999999999999E-2</v>
      </c>
      <c r="AH88" s="78">
        <v>1708</v>
      </c>
      <c r="AI88" s="79">
        <v>0</v>
      </c>
      <c r="AJ88" s="78">
        <v>0</v>
      </c>
      <c r="AK88" s="79">
        <v>0</v>
      </c>
      <c r="AL88" s="79">
        <v>0</v>
      </c>
      <c r="AM88" s="80" t="str">
        <f t="shared" si="2"/>
        <v>06.020,01500</v>
      </c>
      <c r="AN88" t="str">
        <f t="shared" si="3"/>
        <v>06.020,01500</v>
      </c>
    </row>
    <row r="89" spans="2:40" ht="18" customHeight="1">
      <c r="B89" s="71">
        <v>84</v>
      </c>
      <c r="C89" s="81" t="s">
        <v>296</v>
      </c>
      <c r="D89" s="71" t="s">
        <v>929</v>
      </c>
      <c r="E89" s="82" t="s">
        <v>297</v>
      </c>
      <c r="F89" s="85" t="s">
        <v>838</v>
      </c>
      <c r="G89" s="74">
        <v>0.05</v>
      </c>
      <c r="H89" s="74" t="s">
        <v>824</v>
      </c>
      <c r="I89" s="74">
        <v>0.05</v>
      </c>
      <c r="J89" s="75" t="s">
        <v>824</v>
      </c>
      <c r="K89" s="75"/>
      <c r="L89" s="75"/>
      <c r="M89" s="75"/>
      <c r="N89" s="75"/>
      <c r="O89" s="75"/>
      <c r="P89" s="75"/>
      <c r="Q89" s="75"/>
      <c r="R89" s="75"/>
      <c r="S89" s="75"/>
      <c r="T89" s="75"/>
      <c r="U89" s="75"/>
      <c r="V89" s="75"/>
      <c r="W89" s="74">
        <v>0.05</v>
      </c>
      <c r="X89" s="75" t="s">
        <v>824</v>
      </c>
      <c r="Y89" s="74">
        <v>0.05</v>
      </c>
      <c r="Z89" s="75"/>
      <c r="AA89" s="74">
        <v>0</v>
      </c>
      <c r="AB89" s="75" t="s">
        <v>824</v>
      </c>
      <c r="AC89" s="76">
        <v>0.05</v>
      </c>
      <c r="AD89" s="76" t="s">
        <v>824</v>
      </c>
      <c r="AE89" s="76">
        <v>0.02</v>
      </c>
      <c r="AF89" s="75" t="s">
        <v>824</v>
      </c>
      <c r="AG89" s="79">
        <v>1.4999999999999999E-2</v>
      </c>
      <c r="AH89" s="78">
        <v>1708</v>
      </c>
      <c r="AI89" s="79">
        <v>0</v>
      </c>
      <c r="AJ89" s="78">
        <v>0</v>
      </c>
      <c r="AK89" s="79">
        <v>0</v>
      </c>
      <c r="AL89" s="79">
        <v>0</v>
      </c>
      <c r="AM89" s="80" t="str">
        <f t="shared" si="2"/>
        <v>06.030,01500</v>
      </c>
      <c r="AN89" t="str">
        <f t="shared" si="3"/>
        <v>06.030,01500</v>
      </c>
    </row>
    <row r="90" spans="2:40" ht="18" customHeight="1">
      <c r="B90" s="71">
        <v>85</v>
      </c>
      <c r="C90" s="81" t="s">
        <v>299</v>
      </c>
      <c r="D90" s="71" t="s">
        <v>930</v>
      </c>
      <c r="E90" s="82" t="s">
        <v>300</v>
      </c>
      <c r="F90" s="85" t="s">
        <v>838</v>
      </c>
      <c r="G90" s="74">
        <v>0.05</v>
      </c>
      <c r="H90" s="74" t="s">
        <v>824</v>
      </c>
      <c r="I90" s="74">
        <v>0.05</v>
      </c>
      <c r="J90" s="75" t="s">
        <v>824</v>
      </c>
      <c r="K90" s="75"/>
      <c r="L90" s="75"/>
      <c r="M90" s="75"/>
      <c r="N90" s="75"/>
      <c r="O90" s="75"/>
      <c r="P90" s="75"/>
      <c r="Q90" s="75"/>
      <c r="R90" s="75"/>
      <c r="S90" s="75"/>
      <c r="T90" s="75"/>
      <c r="U90" s="75"/>
      <c r="V90" s="75"/>
      <c r="W90" s="74">
        <v>0.05</v>
      </c>
      <c r="X90" s="75" t="s">
        <v>824</v>
      </c>
      <c r="Y90" s="74">
        <v>0.05</v>
      </c>
      <c r="Z90" s="75"/>
      <c r="AA90" s="74">
        <v>0.02</v>
      </c>
      <c r="AB90" s="75" t="s">
        <v>824</v>
      </c>
      <c r="AC90" s="76">
        <v>0.05</v>
      </c>
      <c r="AD90" s="76" t="s">
        <v>824</v>
      </c>
      <c r="AE90" s="76">
        <v>0.02</v>
      </c>
      <c r="AF90" s="75" t="s">
        <v>824</v>
      </c>
      <c r="AG90" s="79">
        <v>1.4999999999999999E-2</v>
      </c>
      <c r="AH90" s="78">
        <v>1708</v>
      </c>
      <c r="AI90" s="79">
        <v>4.65E-2</v>
      </c>
      <c r="AJ90" s="78">
        <v>5952</v>
      </c>
      <c r="AK90" s="79">
        <v>0</v>
      </c>
      <c r="AL90" s="79">
        <v>0</v>
      </c>
      <c r="AM90" s="80" t="str">
        <f t="shared" si="2"/>
        <v>06.040,0150,04650</v>
      </c>
      <c r="AN90" t="str">
        <f t="shared" si="3"/>
        <v>06.040,0150,04650</v>
      </c>
    </row>
    <row r="91" spans="2:40" ht="18" customHeight="1">
      <c r="B91" s="71">
        <v>86</v>
      </c>
      <c r="C91" s="81" t="s">
        <v>302</v>
      </c>
      <c r="D91" s="71" t="s">
        <v>931</v>
      </c>
      <c r="E91" s="82" t="s">
        <v>303</v>
      </c>
      <c r="F91" s="85" t="s">
        <v>838</v>
      </c>
      <c r="G91" s="74">
        <v>0.05</v>
      </c>
      <c r="H91" s="74" t="s">
        <v>824</v>
      </c>
      <c r="I91" s="74">
        <v>0.05</v>
      </c>
      <c r="J91" s="75" t="s">
        <v>824</v>
      </c>
      <c r="K91" s="75"/>
      <c r="L91" s="75"/>
      <c r="M91" s="75"/>
      <c r="N91" s="75"/>
      <c r="O91" s="75"/>
      <c r="P91" s="75"/>
      <c r="Q91" s="75"/>
      <c r="R91" s="75"/>
      <c r="S91" s="75"/>
      <c r="T91" s="75"/>
      <c r="U91" s="75"/>
      <c r="V91" s="75"/>
      <c r="W91" s="74">
        <v>0.05</v>
      </c>
      <c r="X91" s="75" t="s">
        <v>824</v>
      </c>
      <c r="Y91" s="74">
        <v>0.05</v>
      </c>
      <c r="Z91" s="75"/>
      <c r="AA91" s="74">
        <v>0.05</v>
      </c>
      <c r="AB91" s="75" t="s">
        <v>824</v>
      </c>
      <c r="AC91" s="76">
        <v>0.05</v>
      </c>
      <c r="AD91" s="76" t="s">
        <v>824</v>
      </c>
      <c r="AE91" s="76">
        <v>0.02</v>
      </c>
      <c r="AF91" s="75" t="s">
        <v>824</v>
      </c>
      <c r="AG91" s="79">
        <v>1.4999999999999999E-2</v>
      </c>
      <c r="AH91" s="78">
        <v>1708</v>
      </c>
      <c r="AI91" s="79">
        <v>0</v>
      </c>
      <c r="AJ91" s="78">
        <v>5952</v>
      </c>
      <c r="AK91" s="79">
        <v>0</v>
      </c>
      <c r="AL91" s="79">
        <v>0</v>
      </c>
      <c r="AM91" s="80" t="str">
        <f t="shared" si="2"/>
        <v>06.050,01500</v>
      </c>
      <c r="AN91" t="str">
        <f t="shared" si="3"/>
        <v>06.050,01500</v>
      </c>
    </row>
    <row r="92" spans="2:40" ht="18" customHeight="1">
      <c r="B92" s="71">
        <v>87</v>
      </c>
      <c r="C92" s="81" t="s">
        <v>305</v>
      </c>
      <c r="D92" s="71" t="s">
        <v>932</v>
      </c>
      <c r="E92" s="82" t="s">
        <v>933</v>
      </c>
      <c r="F92" s="85" t="s">
        <v>838</v>
      </c>
      <c r="G92" s="74">
        <v>0.05</v>
      </c>
      <c r="H92" s="74" t="s">
        <v>824</v>
      </c>
      <c r="I92" s="74">
        <v>0.05</v>
      </c>
      <c r="J92" s="75" t="s">
        <v>824</v>
      </c>
      <c r="K92" s="75"/>
      <c r="L92" s="75"/>
      <c r="M92" s="75"/>
      <c r="N92" s="75"/>
      <c r="O92" s="75"/>
      <c r="P92" s="75"/>
      <c r="Q92" s="75"/>
      <c r="R92" s="75"/>
      <c r="S92" s="75"/>
      <c r="T92" s="75"/>
      <c r="U92" s="75"/>
      <c r="V92" s="75"/>
      <c r="W92" s="74">
        <v>0.05</v>
      </c>
      <c r="X92" s="75" t="s">
        <v>824</v>
      </c>
      <c r="Y92" s="74">
        <v>0.05</v>
      </c>
      <c r="Z92" s="75"/>
      <c r="AA92" s="74">
        <v>0.05</v>
      </c>
      <c r="AB92" s="75" t="s">
        <v>824</v>
      </c>
      <c r="AC92" s="76">
        <v>0.05</v>
      </c>
      <c r="AD92" s="76" t="s">
        <v>824</v>
      </c>
      <c r="AE92" s="76">
        <v>0.02</v>
      </c>
      <c r="AF92" s="75" t="s">
        <v>824</v>
      </c>
      <c r="AG92" s="79">
        <v>0</v>
      </c>
      <c r="AH92" s="78">
        <v>0</v>
      </c>
      <c r="AI92" s="79">
        <v>0</v>
      </c>
      <c r="AJ92" s="78">
        <v>0</v>
      </c>
      <c r="AK92" s="79">
        <v>0</v>
      </c>
      <c r="AL92" s="79">
        <v>0</v>
      </c>
      <c r="AM92" s="80" t="str">
        <f t="shared" si="2"/>
        <v>06.06000</v>
      </c>
      <c r="AN92" t="str">
        <f t="shared" si="3"/>
        <v>06.06000</v>
      </c>
    </row>
    <row r="93" spans="2:40" ht="18" customHeight="1">
      <c r="B93" s="71">
        <v>88</v>
      </c>
      <c r="C93" s="81" t="s">
        <v>308</v>
      </c>
      <c r="D93" s="71" t="s">
        <v>934</v>
      </c>
      <c r="E93" s="83" t="s">
        <v>309</v>
      </c>
      <c r="F93" s="82" t="s">
        <v>838</v>
      </c>
      <c r="G93" s="74">
        <v>0.05</v>
      </c>
      <c r="H93" s="74" t="s">
        <v>870</v>
      </c>
      <c r="I93" s="74">
        <v>0.02</v>
      </c>
      <c r="J93" s="75" t="s">
        <v>824</v>
      </c>
      <c r="K93" s="75"/>
      <c r="L93" s="75"/>
      <c r="M93" s="75"/>
      <c r="N93" s="75"/>
      <c r="O93" s="75"/>
      <c r="P93" s="75"/>
      <c r="Q93" s="75"/>
      <c r="R93" s="75"/>
      <c r="S93" s="75"/>
      <c r="T93" s="75"/>
      <c r="U93" s="75"/>
      <c r="V93" s="75"/>
      <c r="W93" s="74">
        <v>0.05</v>
      </c>
      <c r="X93" s="75" t="s">
        <v>849</v>
      </c>
      <c r="Y93" s="74">
        <v>0.05</v>
      </c>
      <c r="Z93" s="75"/>
      <c r="AA93" s="74">
        <v>0.05</v>
      </c>
      <c r="AB93" s="75" t="s">
        <v>824</v>
      </c>
      <c r="AC93" s="76">
        <v>0.02</v>
      </c>
      <c r="AD93" s="76" t="s">
        <v>824</v>
      </c>
      <c r="AE93" s="76">
        <v>0.02</v>
      </c>
      <c r="AF93" s="75" t="s">
        <v>870</v>
      </c>
      <c r="AG93" s="79">
        <v>0</v>
      </c>
      <c r="AH93" s="78">
        <v>0</v>
      </c>
      <c r="AI93" s="79">
        <v>0</v>
      </c>
      <c r="AJ93" s="78">
        <v>0</v>
      </c>
      <c r="AK93" s="79">
        <v>0</v>
      </c>
      <c r="AL93" s="79">
        <v>0</v>
      </c>
      <c r="AM93" s="80" t="str">
        <f t="shared" si="2"/>
        <v>07.01000</v>
      </c>
      <c r="AN93" t="str">
        <f t="shared" si="3"/>
        <v>07.01000</v>
      </c>
    </row>
    <row r="94" spans="2:40" ht="18" customHeight="1">
      <c r="B94" s="71">
        <v>89</v>
      </c>
      <c r="C94" s="81" t="s">
        <v>308</v>
      </c>
      <c r="D94" s="71" t="s">
        <v>935</v>
      </c>
      <c r="E94" s="83" t="s">
        <v>309</v>
      </c>
      <c r="F94" s="82" t="s">
        <v>840</v>
      </c>
      <c r="G94" s="74">
        <v>0.05</v>
      </c>
      <c r="H94" s="74" t="s">
        <v>870</v>
      </c>
      <c r="I94" s="74">
        <v>0.02</v>
      </c>
      <c r="J94" s="75" t="s">
        <v>824</v>
      </c>
      <c r="K94" s="75"/>
      <c r="L94" s="75"/>
      <c r="M94" s="75"/>
      <c r="N94" s="75"/>
      <c r="O94" s="75"/>
      <c r="P94" s="75"/>
      <c r="Q94" s="75"/>
      <c r="R94" s="75"/>
      <c r="S94" s="75"/>
      <c r="T94" s="75"/>
      <c r="U94" s="75"/>
      <c r="V94" s="75"/>
      <c r="W94" s="74">
        <v>0.05</v>
      </c>
      <c r="X94" s="75" t="s">
        <v>849</v>
      </c>
      <c r="Y94" s="74">
        <v>0.05</v>
      </c>
      <c r="Z94" s="75"/>
      <c r="AA94" s="74">
        <v>0.05</v>
      </c>
      <c r="AB94" s="75" t="s">
        <v>824</v>
      </c>
      <c r="AC94" s="76">
        <v>0.02</v>
      </c>
      <c r="AD94" s="76" t="s">
        <v>824</v>
      </c>
      <c r="AE94" s="76">
        <v>0.02</v>
      </c>
      <c r="AF94" s="75" t="s">
        <v>870</v>
      </c>
      <c r="AG94" s="79">
        <v>0</v>
      </c>
      <c r="AH94" s="78">
        <v>0</v>
      </c>
      <c r="AI94" s="79">
        <v>0</v>
      </c>
      <c r="AJ94" s="78">
        <v>0</v>
      </c>
      <c r="AK94" s="79">
        <v>0.11</v>
      </c>
      <c r="AL94" s="79">
        <v>3.5000000000000003E-2</v>
      </c>
      <c r="AM94" s="80" t="str">
        <f t="shared" si="2"/>
        <v>07.01000,11</v>
      </c>
      <c r="AN94" t="str">
        <f t="shared" si="3"/>
        <v>07.01000,035</v>
      </c>
    </row>
    <row r="95" spans="2:40" ht="18" customHeight="1">
      <c r="B95" s="71">
        <v>90</v>
      </c>
      <c r="C95" s="81" t="s">
        <v>308</v>
      </c>
      <c r="D95" s="71" t="s">
        <v>936</v>
      </c>
      <c r="E95" s="83" t="s">
        <v>309</v>
      </c>
      <c r="F95" s="83" t="s">
        <v>937</v>
      </c>
      <c r="G95" s="74">
        <v>0.05</v>
      </c>
      <c r="H95" s="74" t="s">
        <v>870</v>
      </c>
      <c r="I95" s="74">
        <v>0.02</v>
      </c>
      <c r="J95" s="75" t="s">
        <v>824</v>
      </c>
      <c r="K95" s="75"/>
      <c r="L95" s="75"/>
      <c r="M95" s="75"/>
      <c r="N95" s="75"/>
      <c r="O95" s="75"/>
      <c r="P95" s="75"/>
      <c r="Q95" s="75"/>
      <c r="R95" s="75"/>
      <c r="S95" s="75"/>
      <c r="T95" s="75"/>
      <c r="U95" s="75"/>
      <c r="V95" s="75"/>
      <c r="W95" s="74">
        <v>0.05</v>
      </c>
      <c r="X95" s="75" t="s">
        <v>849</v>
      </c>
      <c r="Y95" s="74">
        <v>0.05</v>
      </c>
      <c r="Z95" s="75"/>
      <c r="AA95" s="74">
        <v>0.05</v>
      </c>
      <c r="AB95" s="75" t="s">
        <v>824</v>
      </c>
      <c r="AC95" s="76">
        <v>0.02</v>
      </c>
      <c r="AD95" s="76" t="s">
        <v>824</v>
      </c>
      <c r="AE95" s="76">
        <v>0.02</v>
      </c>
      <c r="AF95" s="75" t="s">
        <v>870</v>
      </c>
      <c r="AG95" s="79">
        <v>1.4999999999999999E-2</v>
      </c>
      <c r="AH95" s="78">
        <v>1708</v>
      </c>
      <c r="AI95" s="79">
        <v>4.65E-2</v>
      </c>
      <c r="AJ95" s="78">
        <v>5952</v>
      </c>
      <c r="AK95" s="79">
        <v>0</v>
      </c>
      <c r="AL95" s="79">
        <v>0</v>
      </c>
      <c r="AM95" s="80" t="str">
        <f t="shared" si="2"/>
        <v>07.010,0150,04650</v>
      </c>
      <c r="AN95" t="str">
        <f t="shared" si="3"/>
        <v>07.010,0150,04650</v>
      </c>
    </row>
    <row r="96" spans="2:40" ht="18" customHeight="1">
      <c r="B96" s="71">
        <v>91</v>
      </c>
      <c r="C96" s="81" t="s">
        <v>308</v>
      </c>
      <c r="D96" s="71" t="s">
        <v>938</v>
      </c>
      <c r="E96" s="83" t="s">
        <v>309</v>
      </c>
      <c r="F96" s="83" t="s">
        <v>939</v>
      </c>
      <c r="G96" s="74">
        <v>0.05</v>
      </c>
      <c r="H96" s="74" t="s">
        <v>870</v>
      </c>
      <c r="I96" s="74">
        <v>0.02</v>
      </c>
      <c r="J96" s="75" t="s">
        <v>824</v>
      </c>
      <c r="K96" s="75"/>
      <c r="L96" s="75"/>
      <c r="M96" s="75"/>
      <c r="N96" s="75"/>
      <c r="O96" s="75"/>
      <c r="P96" s="75"/>
      <c r="Q96" s="75"/>
      <c r="R96" s="75"/>
      <c r="S96" s="75"/>
      <c r="T96" s="75"/>
      <c r="U96" s="75"/>
      <c r="V96" s="75"/>
      <c r="W96" s="74">
        <v>0.05</v>
      </c>
      <c r="X96" s="75" t="s">
        <v>849</v>
      </c>
      <c r="Y96" s="74">
        <v>0.05</v>
      </c>
      <c r="Z96" s="75"/>
      <c r="AA96" s="74">
        <v>0.05</v>
      </c>
      <c r="AB96" s="75" t="s">
        <v>824</v>
      </c>
      <c r="AC96" s="76">
        <v>0.02</v>
      </c>
      <c r="AD96" s="76" t="s">
        <v>824</v>
      </c>
      <c r="AE96" s="76">
        <v>0.02</v>
      </c>
      <c r="AF96" s="75" t="s">
        <v>870</v>
      </c>
      <c r="AG96" s="79">
        <v>1.4999999999999999E-2</v>
      </c>
      <c r="AH96" s="78">
        <v>1708</v>
      </c>
      <c r="AI96" s="79">
        <v>4.65E-2</v>
      </c>
      <c r="AJ96" s="78">
        <v>5952</v>
      </c>
      <c r="AK96" s="79">
        <v>0.11</v>
      </c>
      <c r="AL96" s="79">
        <v>3.5000000000000003E-2</v>
      </c>
      <c r="AM96" s="80" t="str">
        <f t="shared" si="2"/>
        <v>07.010,0150,04650,11</v>
      </c>
      <c r="AN96" t="str">
        <f t="shared" si="3"/>
        <v>07.010,0150,04650,035</v>
      </c>
    </row>
    <row r="97" spans="2:40" ht="18" customHeight="1">
      <c r="B97" s="71">
        <v>92</v>
      </c>
      <c r="C97" s="81" t="s">
        <v>311</v>
      </c>
      <c r="D97" s="71" t="s">
        <v>940</v>
      </c>
      <c r="E97" s="82" t="s">
        <v>312</v>
      </c>
      <c r="F97" s="84" t="s">
        <v>838</v>
      </c>
      <c r="G97" s="74">
        <v>0.05</v>
      </c>
      <c r="H97" s="74" t="s">
        <v>870</v>
      </c>
      <c r="I97" s="74">
        <v>0.05</v>
      </c>
      <c r="J97" s="75" t="s">
        <v>849</v>
      </c>
      <c r="K97" s="74">
        <v>0.03</v>
      </c>
      <c r="L97" s="75" t="s">
        <v>870</v>
      </c>
      <c r="M97" s="74">
        <v>0.05</v>
      </c>
      <c r="N97" s="75" t="s">
        <v>870</v>
      </c>
      <c r="O97" s="75"/>
      <c r="P97" s="75"/>
      <c r="Q97" s="74">
        <v>0.05</v>
      </c>
      <c r="R97" s="75" t="s">
        <v>870</v>
      </c>
      <c r="S97" s="74">
        <v>0.02</v>
      </c>
      <c r="T97" s="75" t="s">
        <v>870</v>
      </c>
      <c r="U97" s="74">
        <v>0.05</v>
      </c>
      <c r="V97" s="75" t="s">
        <v>870</v>
      </c>
      <c r="W97" s="74">
        <v>0.05</v>
      </c>
      <c r="X97" s="75" t="s">
        <v>849</v>
      </c>
      <c r="Y97" s="74">
        <v>0.05</v>
      </c>
      <c r="Z97" s="75"/>
      <c r="AA97" s="74">
        <v>0.05</v>
      </c>
      <c r="AB97" s="75" t="s">
        <v>849</v>
      </c>
      <c r="AC97" s="76">
        <v>0.02</v>
      </c>
      <c r="AD97" s="89" t="s">
        <v>849</v>
      </c>
      <c r="AE97" s="76">
        <v>0.02</v>
      </c>
      <c r="AF97" s="75" t="s">
        <v>870</v>
      </c>
      <c r="AG97" s="79">
        <v>0</v>
      </c>
      <c r="AH97" s="78">
        <v>0</v>
      </c>
      <c r="AI97" s="79">
        <v>0</v>
      </c>
      <c r="AJ97" s="78">
        <v>0</v>
      </c>
      <c r="AK97" s="79">
        <v>0</v>
      </c>
      <c r="AL97" s="79">
        <v>0</v>
      </c>
      <c r="AM97" s="80" t="str">
        <f t="shared" si="2"/>
        <v>07.02000</v>
      </c>
      <c r="AN97" t="str">
        <f t="shared" si="3"/>
        <v>07.02000</v>
      </c>
    </row>
    <row r="98" spans="2:40" ht="18" customHeight="1">
      <c r="B98" s="71">
        <v>93</v>
      </c>
      <c r="C98" s="81" t="s">
        <v>311</v>
      </c>
      <c r="D98" s="71" t="s">
        <v>941</v>
      </c>
      <c r="E98" s="82" t="s">
        <v>312</v>
      </c>
      <c r="F98" s="84" t="s">
        <v>840</v>
      </c>
      <c r="G98" s="74">
        <v>0.05</v>
      </c>
      <c r="H98" s="74" t="s">
        <v>870</v>
      </c>
      <c r="I98" s="74">
        <v>0.05</v>
      </c>
      <c r="J98" s="75" t="s">
        <v>849</v>
      </c>
      <c r="K98" s="74">
        <v>0.03</v>
      </c>
      <c r="L98" s="75" t="s">
        <v>870</v>
      </c>
      <c r="M98" s="74">
        <v>0.05</v>
      </c>
      <c r="N98" s="75" t="s">
        <v>870</v>
      </c>
      <c r="O98" s="75"/>
      <c r="P98" s="75"/>
      <c r="Q98" s="74">
        <v>0.05</v>
      </c>
      <c r="R98" s="75" t="s">
        <v>870</v>
      </c>
      <c r="S98" s="74">
        <v>0.02</v>
      </c>
      <c r="T98" s="75" t="s">
        <v>870</v>
      </c>
      <c r="U98" s="74">
        <v>0.05</v>
      </c>
      <c r="V98" s="75" t="s">
        <v>870</v>
      </c>
      <c r="W98" s="74">
        <v>0.05</v>
      </c>
      <c r="X98" s="75" t="s">
        <v>849</v>
      </c>
      <c r="Y98" s="74">
        <v>0.05</v>
      </c>
      <c r="Z98" s="75"/>
      <c r="AA98" s="74">
        <v>0.05</v>
      </c>
      <c r="AB98" s="75" t="s">
        <v>849</v>
      </c>
      <c r="AC98" s="76">
        <v>0.02</v>
      </c>
      <c r="AD98" s="89" t="s">
        <v>849</v>
      </c>
      <c r="AE98" s="76">
        <v>0.02</v>
      </c>
      <c r="AF98" s="75" t="s">
        <v>870</v>
      </c>
      <c r="AG98" s="79">
        <v>0</v>
      </c>
      <c r="AH98" s="78">
        <v>0</v>
      </c>
      <c r="AI98" s="79">
        <v>0</v>
      </c>
      <c r="AJ98" s="78">
        <v>0</v>
      </c>
      <c r="AK98" s="79">
        <v>0.11</v>
      </c>
      <c r="AL98" s="79">
        <v>3.5000000000000003E-2</v>
      </c>
      <c r="AM98" s="80" t="str">
        <f t="shared" si="2"/>
        <v>07.02000,11</v>
      </c>
      <c r="AN98" t="str">
        <f t="shared" si="3"/>
        <v>07.02000,035</v>
      </c>
    </row>
    <row r="99" spans="2:40" ht="18" customHeight="1">
      <c r="B99" s="71">
        <v>94</v>
      </c>
      <c r="C99" s="81" t="s">
        <v>311</v>
      </c>
      <c r="D99" s="71" t="s">
        <v>942</v>
      </c>
      <c r="E99" s="82" t="s">
        <v>312</v>
      </c>
      <c r="F99" s="84" t="s">
        <v>937</v>
      </c>
      <c r="G99" s="74">
        <v>0.05</v>
      </c>
      <c r="H99" s="74" t="s">
        <v>870</v>
      </c>
      <c r="I99" s="74">
        <v>0.05</v>
      </c>
      <c r="J99" s="75" t="s">
        <v>849</v>
      </c>
      <c r="K99" s="74">
        <v>0.03</v>
      </c>
      <c r="L99" s="75" t="s">
        <v>870</v>
      </c>
      <c r="M99" s="74">
        <v>0.05</v>
      </c>
      <c r="N99" s="75" t="s">
        <v>870</v>
      </c>
      <c r="O99" s="75"/>
      <c r="P99" s="75"/>
      <c r="Q99" s="74">
        <v>0.05</v>
      </c>
      <c r="R99" s="75" t="s">
        <v>870</v>
      </c>
      <c r="S99" s="74">
        <v>0.02</v>
      </c>
      <c r="T99" s="75" t="s">
        <v>870</v>
      </c>
      <c r="U99" s="74">
        <v>0.05</v>
      </c>
      <c r="V99" s="75" t="s">
        <v>870</v>
      </c>
      <c r="W99" s="74">
        <v>0.05</v>
      </c>
      <c r="X99" s="75" t="s">
        <v>849</v>
      </c>
      <c r="Y99" s="74">
        <v>0.05</v>
      </c>
      <c r="Z99" s="75"/>
      <c r="AA99" s="74">
        <v>0.05</v>
      </c>
      <c r="AB99" s="75" t="s">
        <v>849</v>
      </c>
      <c r="AC99" s="76">
        <v>0.02</v>
      </c>
      <c r="AD99" s="89" t="s">
        <v>849</v>
      </c>
      <c r="AE99" s="76">
        <v>0.02</v>
      </c>
      <c r="AF99" s="75" t="s">
        <v>870</v>
      </c>
      <c r="AG99" s="79">
        <v>1.4999999999999999E-2</v>
      </c>
      <c r="AH99" s="78">
        <v>1708</v>
      </c>
      <c r="AI99" s="79">
        <v>4.65E-2</v>
      </c>
      <c r="AJ99" s="78">
        <v>5952</v>
      </c>
      <c r="AK99" s="79">
        <v>0</v>
      </c>
      <c r="AL99" s="79">
        <v>0</v>
      </c>
      <c r="AM99" s="80" t="str">
        <f t="shared" si="2"/>
        <v>07.020,0150,04650</v>
      </c>
      <c r="AN99" t="str">
        <f t="shared" si="3"/>
        <v>07.020,0150,04650</v>
      </c>
    </row>
    <row r="100" spans="2:40" ht="18" customHeight="1">
      <c r="B100" s="71">
        <v>95</v>
      </c>
      <c r="C100" s="81" t="s">
        <v>311</v>
      </c>
      <c r="D100" s="71" t="s">
        <v>943</v>
      </c>
      <c r="E100" s="82" t="s">
        <v>312</v>
      </c>
      <c r="F100" s="84" t="s">
        <v>939</v>
      </c>
      <c r="G100" s="74">
        <v>0.05</v>
      </c>
      <c r="H100" s="74" t="s">
        <v>870</v>
      </c>
      <c r="I100" s="74">
        <v>0.05</v>
      </c>
      <c r="J100" s="75" t="s">
        <v>849</v>
      </c>
      <c r="K100" s="74">
        <v>0.03</v>
      </c>
      <c r="L100" s="75" t="s">
        <v>870</v>
      </c>
      <c r="M100" s="74">
        <v>0.05</v>
      </c>
      <c r="N100" s="75" t="s">
        <v>870</v>
      </c>
      <c r="O100" s="75"/>
      <c r="P100" s="75"/>
      <c r="Q100" s="74">
        <v>0.05</v>
      </c>
      <c r="R100" s="75" t="s">
        <v>870</v>
      </c>
      <c r="S100" s="74">
        <v>0.02</v>
      </c>
      <c r="T100" s="75" t="s">
        <v>870</v>
      </c>
      <c r="U100" s="74">
        <v>0.05</v>
      </c>
      <c r="V100" s="75" t="s">
        <v>870</v>
      </c>
      <c r="W100" s="74">
        <v>0.05</v>
      </c>
      <c r="X100" s="75" t="s">
        <v>849</v>
      </c>
      <c r="Y100" s="74">
        <v>0.05</v>
      </c>
      <c r="Z100" s="75"/>
      <c r="AA100" s="74">
        <v>0.05</v>
      </c>
      <c r="AB100" s="75" t="s">
        <v>849</v>
      </c>
      <c r="AC100" s="76">
        <v>0.02</v>
      </c>
      <c r="AD100" s="89" t="s">
        <v>849</v>
      </c>
      <c r="AE100" s="76">
        <v>0.02</v>
      </c>
      <c r="AF100" s="75" t="s">
        <v>870</v>
      </c>
      <c r="AG100" s="79">
        <v>1.4999999999999999E-2</v>
      </c>
      <c r="AH100" s="78">
        <v>1708</v>
      </c>
      <c r="AI100" s="79">
        <v>4.65E-2</v>
      </c>
      <c r="AJ100" s="78">
        <v>5952</v>
      </c>
      <c r="AK100" s="79">
        <v>0.11</v>
      </c>
      <c r="AL100" s="79">
        <v>3.5000000000000003E-2</v>
      </c>
      <c r="AM100" s="80" t="str">
        <f t="shared" si="2"/>
        <v>07.020,0150,04650,11</v>
      </c>
      <c r="AN100" t="str">
        <f t="shared" si="3"/>
        <v>07.020,0150,04650,035</v>
      </c>
    </row>
    <row r="101" spans="2:40" ht="18" customHeight="1">
      <c r="B101" s="71">
        <v>96</v>
      </c>
      <c r="C101" s="81" t="s">
        <v>311</v>
      </c>
      <c r="D101" s="71" t="s">
        <v>944</v>
      </c>
      <c r="E101" s="82" t="s">
        <v>312</v>
      </c>
      <c r="F101" s="84" t="s">
        <v>945</v>
      </c>
      <c r="G101" s="74">
        <v>0.05</v>
      </c>
      <c r="H101" s="74" t="s">
        <v>870</v>
      </c>
      <c r="I101" s="74">
        <v>0.05</v>
      </c>
      <c r="J101" s="75" t="s">
        <v>849</v>
      </c>
      <c r="K101" s="74">
        <v>0.03</v>
      </c>
      <c r="L101" s="74" t="s">
        <v>870</v>
      </c>
      <c r="M101" s="74">
        <v>0.05</v>
      </c>
      <c r="N101" s="74" t="s">
        <v>870</v>
      </c>
      <c r="O101" s="74"/>
      <c r="P101" s="74"/>
      <c r="Q101" s="74">
        <v>0.05</v>
      </c>
      <c r="R101" s="74" t="s">
        <v>870</v>
      </c>
      <c r="S101" s="74">
        <v>0.02</v>
      </c>
      <c r="T101" s="74" t="s">
        <v>870</v>
      </c>
      <c r="U101" s="74">
        <v>0.05</v>
      </c>
      <c r="V101" s="74" t="s">
        <v>870</v>
      </c>
      <c r="W101" s="74">
        <v>0.05</v>
      </c>
      <c r="X101" s="75" t="s">
        <v>849</v>
      </c>
      <c r="Y101" s="74">
        <v>0.05</v>
      </c>
      <c r="Z101" s="74"/>
      <c r="AA101" s="74">
        <v>0.05</v>
      </c>
      <c r="AB101" s="75" t="s">
        <v>849</v>
      </c>
      <c r="AC101" s="76">
        <v>0.02</v>
      </c>
      <c r="AD101" s="89" t="s">
        <v>849</v>
      </c>
      <c r="AE101" s="76">
        <v>0.02</v>
      </c>
      <c r="AF101" s="75" t="s">
        <v>870</v>
      </c>
      <c r="AG101" s="79">
        <v>0.01</v>
      </c>
      <c r="AH101" s="78">
        <v>1708</v>
      </c>
      <c r="AI101" s="79" t="s">
        <v>946</v>
      </c>
      <c r="AJ101" s="78">
        <v>5952</v>
      </c>
      <c r="AK101" s="79">
        <v>0</v>
      </c>
      <c r="AL101" s="79">
        <v>0</v>
      </c>
      <c r="AM101" s="80" t="str">
        <f t="shared" si="2"/>
        <v>07.020,014,65%0</v>
      </c>
      <c r="AN101" t="str">
        <f t="shared" si="3"/>
        <v>07.020,014,65%0</v>
      </c>
    </row>
    <row r="102" spans="2:40" ht="18" customHeight="1">
      <c r="B102" s="71">
        <v>97</v>
      </c>
      <c r="C102" s="81" t="s">
        <v>311</v>
      </c>
      <c r="D102" s="71" t="s">
        <v>947</v>
      </c>
      <c r="E102" s="82" t="s">
        <v>312</v>
      </c>
      <c r="F102" s="84" t="s">
        <v>948</v>
      </c>
      <c r="G102" s="74">
        <v>0.05</v>
      </c>
      <c r="H102" s="74" t="s">
        <v>870</v>
      </c>
      <c r="I102" s="74">
        <v>0.05</v>
      </c>
      <c r="J102" s="75" t="s">
        <v>849</v>
      </c>
      <c r="K102" s="74">
        <v>0.03</v>
      </c>
      <c r="L102" s="74" t="s">
        <v>870</v>
      </c>
      <c r="M102" s="74">
        <v>0.05</v>
      </c>
      <c r="N102" s="74" t="s">
        <v>870</v>
      </c>
      <c r="O102" s="74"/>
      <c r="P102" s="74"/>
      <c r="Q102" s="74">
        <v>0.05</v>
      </c>
      <c r="R102" s="74" t="s">
        <v>870</v>
      </c>
      <c r="S102" s="74">
        <v>0.02</v>
      </c>
      <c r="T102" s="74" t="s">
        <v>870</v>
      </c>
      <c r="U102" s="74">
        <v>0.05</v>
      </c>
      <c r="V102" s="74" t="s">
        <v>870</v>
      </c>
      <c r="W102" s="74">
        <v>0.05</v>
      </c>
      <c r="X102" s="75" t="s">
        <v>849</v>
      </c>
      <c r="Y102" s="74">
        <v>0.05</v>
      </c>
      <c r="Z102" s="74"/>
      <c r="AA102" s="74">
        <v>0.05</v>
      </c>
      <c r="AB102" s="75" t="s">
        <v>849</v>
      </c>
      <c r="AC102" s="76">
        <v>0.02</v>
      </c>
      <c r="AD102" s="89" t="s">
        <v>849</v>
      </c>
      <c r="AE102" s="76">
        <v>0.02</v>
      </c>
      <c r="AF102" s="75" t="s">
        <v>870</v>
      </c>
      <c r="AG102" s="79">
        <v>0.01</v>
      </c>
      <c r="AH102" s="78">
        <v>1708</v>
      </c>
      <c r="AI102" s="79">
        <v>0</v>
      </c>
      <c r="AJ102" s="78">
        <v>5952</v>
      </c>
      <c r="AK102" s="79">
        <v>0.11</v>
      </c>
      <c r="AL102" s="79">
        <v>3.5000000000000003E-2</v>
      </c>
      <c r="AM102" s="80" t="str">
        <f t="shared" si="2"/>
        <v>07.020,0100,11</v>
      </c>
      <c r="AN102" t="str">
        <f t="shared" si="3"/>
        <v>07.020,0100,035</v>
      </c>
    </row>
    <row r="103" spans="2:40" ht="18" customHeight="1">
      <c r="B103" s="71">
        <v>98</v>
      </c>
      <c r="C103" s="81" t="s">
        <v>311</v>
      </c>
      <c r="D103" s="71" t="s">
        <v>949</v>
      </c>
      <c r="E103" s="82" t="s">
        <v>312</v>
      </c>
      <c r="F103" s="84" t="s">
        <v>950</v>
      </c>
      <c r="G103" s="74"/>
      <c r="H103" s="74"/>
      <c r="I103" s="74"/>
      <c r="J103" s="75"/>
      <c r="K103" s="74"/>
      <c r="L103" s="74"/>
      <c r="M103" s="74"/>
      <c r="N103" s="74"/>
      <c r="O103" s="74"/>
      <c r="P103" s="74"/>
      <c r="Q103" s="74"/>
      <c r="R103" s="74"/>
      <c r="S103" s="74"/>
      <c r="T103" s="74"/>
      <c r="U103" s="74"/>
      <c r="V103" s="74"/>
      <c r="W103" s="74"/>
      <c r="X103" s="75"/>
      <c r="Y103" s="74"/>
      <c r="Z103" s="74"/>
      <c r="AA103" s="74"/>
      <c r="AB103" s="75"/>
      <c r="AC103" s="76"/>
      <c r="AD103" s="89"/>
      <c r="AE103" s="76"/>
      <c r="AF103" s="75"/>
      <c r="AG103" s="79">
        <v>0</v>
      </c>
      <c r="AH103" s="78">
        <v>0</v>
      </c>
      <c r="AI103" s="79">
        <v>0</v>
      </c>
      <c r="AJ103" s="78">
        <v>0</v>
      </c>
      <c r="AK103" s="79">
        <v>0</v>
      </c>
      <c r="AL103" s="79">
        <v>0</v>
      </c>
      <c r="AM103" s="80" t="str">
        <f t="shared" si="2"/>
        <v>07.02000</v>
      </c>
      <c r="AN103" t="str">
        <f t="shared" si="3"/>
        <v>07.02000</v>
      </c>
    </row>
    <row r="104" spans="2:40" ht="18" customHeight="1">
      <c r="B104" s="71">
        <v>99</v>
      </c>
      <c r="C104" s="81" t="s">
        <v>314</v>
      </c>
      <c r="D104" s="71" t="s">
        <v>951</v>
      </c>
      <c r="E104" s="82" t="s">
        <v>952</v>
      </c>
      <c r="F104" s="84" t="s">
        <v>838</v>
      </c>
      <c r="G104" s="74">
        <v>0.05</v>
      </c>
      <c r="H104" s="74" t="s">
        <v>824</v>
      </c>
      <c r="I104" s="74">
        <v>0.02</v>
      </c>
      <c r="J104" s="75" t="s">
        <v>824</v>
      </c>
      <c r="K104" s="74"/>
      <c r="L104" s="74"/>
      <c r="M104" s="74"/>
      <c r="N104" s="74"/>
      <c r="O104" s="74"/>
      <c r="P104" s="74"/>
      <c r="Q104" s="74"/>
      <c r="R104" s="74"/>
      <c r="S104" s="74"/>
      <c r="T104" s="74"/>
      <c r="U104" s="74"/>
      <c r="V104" s="74"/>
      <c r="W104" s="74">
        <v>0.05</v>
      </c>
      <c r="X104" s="75" t="s">
        <v>824</v>
      </c>
      <c r="Y104" s="74">
        <v>0.05</v>
      </c>
      <c r="Z104" s="74"/>
      <c r="AA104" s="74">
        <v>0.05</v>
      </c>
      <c r="AB104" s="75" t="s">
        <v>824</v>
      </c>
      <c r="AC104" s="76">
        <v>0.05</v>
      </c>
      <c r="AD104" s="76" t="s">
        <v>824</v>
      </c>
      <c r="AE104" s="76">
        <v>0.02</v>
      </c>
      <c r="AF104" s="75" t="s">
        <v>870</v>
      </c>
      <c r="AG104" s="79">
        <v>1.4999999999999999E-2</v>
      </c>
      <c r="AH104" s="78">
        <v>1708</v>
      </c>
      <c r="AI104" s="79">
        <v>4.65E-2</v>
      </c>
      <c r="AJ104" s="78">
        <v>5952</v>
      </c>
      <c r="AK104" s="79">
        <v>0</v>
      </c>
      <c r="AL104" s="79">
        <v>0</v>
      </c>
      <c r="AM104" s="80" t="str">
        <f t="shared" si="2"/>
        <v>07.030,0150,04650</v>
      </c>
      <c r="AN104" t="str">
        <f t="shared" si="3"/>
        <v>07.030,0150,04650</v>
      </c>
    </row>
    <row r="105" spans="2:40" ht="18" customHeight="1">
      <c r="B105" s="71">
        <v>100</v>
      </c>
      <c r="C105" s="81" t="s">
        <v>314</v>
      </c>
      <c r="D105" s="71" t="s">
        <v>953</v>
      </c>
      <c r="E105" s="82" t="s">
        <v>952</v>
      </c>
      <c r="F105" t="s">
        <v>840</v>
      </c>
      <c r="G105" s="74">
        <v>0.05</v>
      </c>
      <c r="H105" s="74" t="s">
        <v>824</v>
      </c>
      <c r="I105" s="74">
        <v>0.02</v>
      </c>
      <c r="J105" s="75" t="s">
        <v>824</v>
      </c>
      <c r="K105" s="74"/>
      <c r="L105" s="74"/>
      <c r="M105" s="74"/>
      <c r="N105" s="74"/>
      <c r="O105" s="74"/>
      <c r="P105" s="74"/>
      <c r="Q105" s="74"/>
      <c r="R105" s="74"/>
      <c r="S105" s="74"/>
      <c r="T105" s="74"/>
      <c r="U105" s="74"/>
      <c r="V105" s="74"/>
      <c r="W105" s="74">
        <v>0.05</v>
      </c>
      <c r="X105" s="75" t="s">
        <v>824</v>
      </c>
      <c r="Y105" s="74">
        <v>0.05</v>
      </c>
      <c r="Z105" s="74"/>
      <c r="AA105" s="74">
        <v>0.05</v>
      </c>
      <c r="AB105" s="75" t="s">
        <v>824</v>
      </c>
      <c r="AC105" s="76">
        <v>0.05</v>
      </c>
      <c r="AD105" s="76" t="s">
        <v>824</v>
      </c>
      <c r="AE105" s="76">
        <v>0.02</v>
      </c>
      <c r="AF105" s="75" t="s">
        <v>870</v>
      </c>
      <c r="AG105" s="79">
        <v>1.4999999999999999E-2</v>
      </c>
      <c r="AH105" s="78">
        <v>1708</v>
      </c>
      <c r="AI105" s="79">
        <v>4.65E-2</v>
      </c>
      <c r="AJ105" s="78">
        <v>5952</v>
      </c>
      <c r="AK105" s="79">
        <v>0.11</v>
      </c>
      <c r="AL105" s="79">
        <v>3.5000000000000003E-2</v>
      </c>
      <c r="AM105" s="80" t="str">
        <f t="shared" si="2"/>
        <v>07.030,0150,04650,11</v>
      </c>
      <c r="AN105" t="str">
        <f t="shared" si="3"/>
        <v>07.030,0150,04650,035</v>
      </c>
    </row>
    <row r="106" spans="2:40" ht="18" customHeight="1">
      <c r="B106" s="71">
        <v>101</v>
      </c>
      <c r="C106" s="81" t="s">
        <v>314</v>
      </c>
      <c r="D106" s="71" t="s">
        <v>954</v>
      </c>
      <c r="E106" s="82" t="s">
        <v>952</v>
      </c>
      <c r="F106" s="83" t="s">
        <v>955</v>
      </c>
      <c r="G106" s="74">
        <v>0.05</v>
      </c>
      <c r="H106" s="74" t="s">
        <v>824</v>
      </c>
      <c r="I106" s="74">
        <v>0.02</v>
      </c>
      <c r="J106" s="75" t="s">
        <v>824</v>
      </c>
      <c r="K106" s="74"/>
      <c r="L106" s="74"/>
      <c r="M106" s="74"/>
      <c r="N106" s="74"/>
      <c r="O106" s="74"/>
      <c r="P106" s="74"/>
      <c r="Q106" s="74"/>
      <c r="R106" s="74"/>
      <c r="S106" s="74"/>
      <c r="T106" s="74"/>
      <c r="U106" s="74"/>
      <c r="V106" s="74"/>
      <c r="W106" s="74">
        <v>0.05</v>
      </c>
      <c r="X106" s="75" t="s">
        <v>824</v>
      </c>
      <c r="Y106" s="74">
        <v>0.05</v>
      </c>
      <c r="Z106" s="74"/>
      <c r="AA106" s="74">
        <v>0.05</v>
      </c>
      <c r="AB106" s="75" t="s">
        <v>824</v>
      </c>
      <c r="AC106" s="76">
        <v>0.05</v>
      </c>
      <c r="AD106" s="76" t="s">
        <v>824</v>
      </c>
      <c r="AE106" s="76">
        <v>0.02</v>
      </c>
      <c r="AF106" s="75" t="s">
        <v>870</v>
      </c>
      <c r="AG106" s="79">
        <v>0</v>
      </c>
      <c r="AH106" s="78">
        <v>0</v>
      </c>
      <c r="AI106" s="79">
        <v>0</v>
      </c>
      <c r="AJ106" s="78">
        <v>0</v>
      </c>
      <c r="AK106" s="79">
        <v>0</v>
      </c>
      <c r="AL106" s="79">
        <v>0</v>
      </c>
      <c r="AM106" s="80" t="str">
        <f t="shared" si="2"/>
        <v>07.03000</v>
      </c>
      <c r="AN106" t="str">
        <f t="shared" si="3"/>
        <v>07.03000</v>
      </c>
    </row>
    <row r="107" spans="2:40" ht="18" customHeight="1">
      <c r="B107" s="71">
        <v>102</v>
      </c>
      <c r="C107" s="81" t="s">
        <v>314</v>
      </c>
      <c r="D107" s="71" t="s">
        <v>956</v>
      </c>
      <c r="E107" s="82" t="s">
        <v>952</v>
      </c>
      <c r="F107" s="82" t="s">
        <v>957</v>
      </c>
      <c r="G107" s="74">
        <v>0.05</v>
      </c>
      <c r="H107" s="74" t="s">
        <v>824</v>
      </c>
      <c r="I107" s="74">
        <v>0.02</v>
      </c>
      <c r="J107" s="75" t="s">
        <v>824</v>
      </c>
      <c r="K107" s="74"/>
      <c r="L107" s="74"/>
      <c r="M107" s="74"/>
      <c r="N107" s="74"/>
      <c r="O107" s="74"/>
      <c r="P107" s="74"/>
      <c r="Q107" s="74"/>
      <c r="R107" s="74"/>
      <c r="S107" s="74"/>
      <c r="T107" s="74"/>
      <c r="U107" s="74"/>
      <c r="V107" s="74"/>
      <c r="W107" s="74">
        <v>0.05</v>
      </c>
      <c r="X107" s="75" t="s">
        <v>824</v>
      </c>
      <c r="Y107" s="74">
        <v>0.05</v>
      </c>
      <c r="Z107" s="74"/>
      <c r="AA107" s="74">
        <v>0.05</v>
      </c>
      <c r="AB107" s="75" t="s">
        <v>824</v>
      </c>
      <c r="AC107" s="76">
        <v>0.05</v>
      </c>
      <c r="AD107" s="76" t="s">
        <v>824</v>
      </c>
      <c r="AE107" s="76">
        <v>0.02</v>
      </c>
      <c r="AF107" s="75" t="s">
        <v>870</v>
      </c>
      <c r="AG107" s="79">
        <v>0</v>
      </c>
      <c r="AH107" s="78">
        <v>0</v>
      </c>
      <c r="AI107" s="79">
        <v>0</v>
      </c>
      <c r="AJ107" s="78">
        <v>0</v>
      </c>
      <c r="AK107" s="79">
        <v>0.11</v>
      </c>
      <c r="AL107" s="79">
        <v>3.5000000000000003E-2</v>
      </c>
      <c r="AM107" s="80" t="str">
        <f t="shared" si="2"/>
        <v>07.03000,11</v>
      </c>
      <c r="AN107" t="str">
        <f t="shared" si="3"/>
        <v>07.03000,035</v>
      </c>
    </row>
    <row r="108" spans="2:40" ht="18" customHeight="1">
      <c r="B108" s="71">
        <v>103</v>
      </c>
      <c r="C108" s="81" t="s">
        <v>318</v>
      </c>
      <c r="D108" s="71" t="s">
        <v>958</v>
      </c>
      <c r="E108" s="82" t="s">
        <v>959</v>
      </c>
      <c r="F108" s="84" t="s">
        <v>838</v>
      </c>
      <c r="G108" s="74">
        <v>0.05</v>
      </c>
      <c r="H108" s="74" t="s">
        <v>824</v>
      </c>
      <c r="I108" s="74">
        <v>0.05</v>
      </c>
      <c r="J108" s="75" t="s">
        <v>849</v>
      </c>
      <c r="K108" s="74"/>
      <c r="L108" s="74"/>
      <c r="M108" s="74"/>
      <c r="N108" s="74"/>
      <c r="O108" s="74"/>
      <c r="P108" s="74"/>
      <c r="Q108" s="74"/>
      <c r="R108" s="74"/>
      <c r="S108" s="74"/>
      <c r="T108" s="74"/>
      <c r="U108" s="74"/>
      <c r="V108" s="74"/>
      <c r="W108" s="74">
        <v>0.05</v>
      </c>
      <c r="X108" s="75" t="s">
        <v>824</v>
      </c>
      <c r="Y108" s="74">
        <v>0.05</v>
      </c>
      <c r="Z108" s="74"/>
      <c r="AA108" s="74">
        <v>0.05</v>
      </c>
      <c r="AB108" s="75" t="s">
        <v>824</v>
      </c>
      <c r="AC108" s="76">
        <v>0.05</v>
      </c>
      <c r="AD108" s="89" t="s">
        <v>849</v>
      </c>
      <c r="AE108" s="76">
        <v>0.02</v>
      </c>
      <c r="AF108" s="75" t="s">
        <v>824</v>
      </c>
      <c r="AG108" s="79">
        <v>0</v>
      </c>
      <c r="AH108" s="78">
        <v>0</v>
      </c>
      <c r="AI108" s="79">
        <v>0</v>
      </c>
      <c r="AJ108" s="78">
        <v>0</v>
      </c>
      <c r="AK108" s="79">
        <v>0</v>
      </c>
      <c r="AL108" s="79">
        <v>0</v>
      </c>
      <c r="AM108" s="80" t="str">
        <f t="shared" si="2"/>
        <v>07.04000</v>
      </c>
      <c r="AN108" t="str">
        <f t="shared" si="3"/>
        <v>07.04000</v>
      </c>
    </row>
    <row r="109" spans="2:40" ht="18" customHeight="1">
      <c r="B109" s="71">
        <v>104</v>
      </c>
      <c r="C109" s="81" t="s">
        <v>321</v>
      </c>
      <c r="D109" s="71" t="s">
        <v>960</v>
      </c>
      <c r="E109" s="82" t="s">
        <v>961</v>
      </c>
      <c r="F109" s="84" t="s">
        <v>838</v>
      </c>
      <c r="G109" s="74">
        <v>0.05</v>
      </c>
      <c r="H109" s="74" t="s">
        <v>870</v>
      </c>
      <c r="I109" s="74">
        <v>0.05</v>
      </c>
      <c r="J109" s="75" t="s">
        <v>849</v>
      </c>
      <c r="K109" s="74"/>
      <c r="L109" s="74"/>
      <c r="M109" s="74"/>
      <c r="N109" s="74"/>
      <c r="O109" s="74">
        <v>0.02</v>
      </c>
      <c r="P109" s="74" t="s">
        <v>870</v>
      </c>
      <c r="Q109" s="74"/>
      <c r="R109" s="74"/>
      <c r="S109" s="74"/>
      <c r="T109" s="74"/>
      <c r="U109" s="74"/>
      <c r="V109" s="74"/>
      <c r="W109" s="74">
        <v>0.05</v>
      </c>
      <c r="X109" s="75" t="s">
        <v>849</v>
      </c>
      <c r="Y109" s="74">
        <v>0.03</v>
      </c>
      <c r="Z109" s="74"/>
      <c r="AA109" s="74">
        <v>0.05</v>
      </c>
      <c r="AB109" s="75" t="s">
        <v>824</v>
      </c>
      <c r="AC109" s="76">
        <v>0.05</v>
      </c>
      <c r="AD109" s="89" t="s">
        <v>849</v>
      </c>
      <c r="AE109" s="76">
        <v>0.03</v>
      </c>
      <c r="AF109" s="75" t="s">
        <v>870</v>
      </c>
      <c r="AG109" s="79">
        <v>0</v>
      </c>
      <c r="AH109" s="78">
        <v>0</v>
      </c>
      <c r="AI109" s="79">
        <v>0</v>
      </c>
      <c r="AJ109" s="78">
        <v>0</v>
      </c>
      <c r="AK109" s="79">
        <v>0</v>
      </c>
      <c r="AL109" s="79">
        <v>0</v>
      </c>
      <c r="AM109" s="80" t="str">
        <f t="shared" si="2"/>
        <v>07.05000</v>
      </c>
      <c r="AN109" t="str">
        <f t="shared" si="3"/>
        <v>07.05000</v>
      </c>
    </row>
    <row r="110" spans="2:40" ht="18" customHeight="1">
      <c r="B110" s="71">
        <v>105</v>
      </c>
      <c r="C110" s="81" t="s">
        <v>321</v>
      </c>
      <c r="D110" s="71" t="s">
        <v>962</v>
      </c>
      <c r="E110" s="82" t="s">
        <v>961</v>
      </c>
      <c r="F110" s="84" t="s">
        <v>840</v>
      </c>
      <c r="G110" s="74">
        <v>0.05</v>
      </c>
      <c r="H110" s="74" t="s">
        <v>870</v>
      </c>
      <c r="I110" s="74">
        <v>0.05</v>
      </c>
      <c r="J110" s="75" t="s">
        <v>849</v>
      </c>
      <c r="K110" s="74"/>
      <c r="L110" s="74"/>
      <c r="M110" s="74"/>
      <c r="N110" s="74"/>
      <c r="O110" s="74">
        <v>0.02</v>
      </c>
      <c r="P110" s="74" t="s">
        <v>870</v>
      </c>
      <c r="Q110" s="74"/>
      <c r="R110" s="74"/>
      <c r="S110" s="74"/>
      <c r="T110" s="74"/>
      <c r="U110" s="74"/>
      <c r="V110" s="74"/>
      <c r="W110" s="74">
        <v>0.05</v>
      </c>
      <c r="X110" s="75" t="s">
        <v>849</v>
      </c>
      <c r="Y110" s="74">
        <v>0.03</v>
      </c>
      <c r="Z110" s="74"/>
      <c r="AA110" s="74">
        <v>0.05</v>
      </c>
      <c r="AB110" s="75" t="s">
        <v>824</v>
      </c>
      <c r="AC110" s="76">
        <v>0.05</v>
      </c>
      <c r="AD110" s="89" t="s">
        <v>849</v>
      </c>
      <c r="AE110" s="76">
        <v>0.03</v>
      </c>
      <c r="AF110" s="75" t="s">
        <v>870</v>
      </c>
      <c r="AG110" s="79">
        <v>0</v>
      </c>
      <c r="AH110" s="78">
        <v>0</v>
      </c>
      <c r="AI110" s="79">
        <v>0</v>
      </c>
      <c r="AJ110" s="78">
        <v>0</v>
      </c>
      <c r="AK110" s="79">
        <v>0.11</v>
      </c>
      <c r="AL110" s="79">
        <v>3.5000000000000003E-2</v>
      </c>
      <c r="AM110" s="80" t="str">
        <f t="shared" si="2"/>
        <v>07.05000,11</v>
      </c>
      <c r="AN110" t="str">
        <f t="shared" si="3"/>
        <v>07.05000,035</v>
      </c>
    </row>
    <row r="111" spans="2:40" ht="18" customHeight="1">
      <c r="B111" s="71">
        <v>106</v>
      </c>
      <c r="C111" s="81" t="s">
        <v>321</v>
      </c>
      <c r="D111" s="71" t="s">
        <v>963</v>
      </c>
      <c r="E111" s="82" t="s">
        <v>961</v>
      </c>
      <c r="F111" s="84" t="s">
        <v>937</v>
      </c>
      <c r="G111" s="74">
        <v>0.05</v>
      </c>
      <c r="H111" s="74" t="s">
        <v>870</v>
      </c>
      <c r="I111" s="74">
        <v>0.05</v>
      </c>
      <c r="J111" s="75" t="s">
        <v>849</v>
      </c>
      <c r="K111" s="74"/>
      <c r="L111" s="74"/>
      <c r="M111" s="74"/>
      <c r="N111" s="74"/>
      <c r="O111" s="74">
        <v>0.02</v>
      </c>
      <c r="P111" s="74" t="s">
        <v>870</v>
      </c>
      <c r="Q111" s="74"/>
      <c r="R111" s="74"/>
      <c r="S111" s="74"/>
      <c r="T111" s="74"/>
      <c r="U111" s="74"/>
      <c r="V111" s="74"/>
      <c r="W111" s="74">
        <v>0.05</v>
      </c>
      <c r="X111" s="75" t="s">
        <v>849</v>
      </c>
      <c r="Y111" s="74">
        <v>0.03</v>
      </c>
      <c r="Z111" s="74"/>
      <c r="AA111" s="74">
        <v>0.05</v>
      </c>
      <c r="AB111" s="75" t="s">
        <v>824</v>
      </c>
      <c r="AC111" s="76">
        <v>0.05</v>
      </c>
      <c r="AD111" s="89" t="s">
        <v>849</v>
      </c>
      <c r="AE111" s="76">
        <v>0.03</v>
      </c>
      <c r="AF111" s="75" t="s">
        <v>870</v>
      </c>
      <c r="AG111" s="79">
        <v>1.4999999999999999E-2</v>
      </c>
      <c r="AH111" s="78">
        <v>1708</v>
      </c>
      <c r="AI111" s="79">
        <v>4.65E-2</v>
      </c>
      <c r="AJ111" s="78">
        <v>5952</v>
      </c>
      <c r="AK111" s="79">
        <v>0</v>
      </c>
      <c r="AL111" s="79">
        <v>0</v>
      </c>
      <c r="AM111" s="80" t="str">
        <f t="shared" si="2"/>
        <v>07.050,0150,04650</v>
      </c>
      <c r="AN111" t="str">
        <f t="shared" si="3"/>
        <v>07.050,0150,04650</v>
      </c>
    </row>
    <row r="112" spans="2:40" ht="18" customHeight="1">
      <c r="B112" s="71">
        <v>107</v>
      </c>
      <c r="C112" s="81" t="s">
        <v>321</v>
      </c>
      <c r="D112" s="71" t="s">
        <v>964</v>
      </c>
      <c r="E112" s="82" t="s">
        <v>961</v>
      </c>
      <c r="F112" s="84" t="s">
        <v>939</v>
      </c>
      <c r="G112" s="74">
        <v>0.05</v>
      </c>
      <c r="H112" s="74" t="s">
        <v>870</v>
      </c>
      <c r="I112" s="74">
        <v>0.05</v>
      </c>
      <c r="J112" s="75" t="s">
        <v>849</v>
      </c>
      <c r="K112" s="74"/>
      <c r="L112" s="74"/>
      <c r="M112" s="74"/>
      <c r="N112" s="74"/>
      <c r="O112" s="74">
        <v>0.02</v>
      </c>
      <c r="P112" s="74" t="s">
        <v>870</v>
      </c>
      <c r="Q112" s="74"/>
      <c r="R112" s="74"/>
      <c r="S112" s="74"/>
      <c r="T112" s="74"/>
      <c r="U112" s="74"/>
      <c r="V112" s="74"/>
      <c r="W112" s="74">
        <v>0.05</v>
      </c>
      <c r="X112" s="75" t="s">
        <v>849</v>
      </c>
      <c r="Y112" s="74">
        <v>0.03</v>
      </c>
      <c r="Z112" s="74"/>
      <c r="AA112" s="74">
        <v>0.05</v>
      </c>
      <c r="AB112" s="75" t="s">
        <v>824</v>
      </c>
      <c r="AC112" s="76">
        <v>0.05</v>
      </c>
      <c r="AD112" s="89" t="s">
        <v>849</v>
      </c>
      <c r="AE112" s="76">
        <v>0.03</v>
      </c>
      <c r="AF112" s="75" t="s">
        <v>870</v>
      </c>
      <c r="AG112" s="79">
        <v>1.4999999999999999E-2</v>
      </c>
      <c r="AH112" s="78">
        <v>1708</v>
      </c>
      <c r="AI112" s="79">
        <v>4.65E-2</v>
      </c>
      <c r="AJ112" s="78">
        <v>5952</v>
      </c>
      <c r="AK112" s="79">
        <v>0.11</v>
      </c>
      <c r="AL112" s="79">
        <v>3.5000000000000003E-2</v>
      </c>
      <c r="AM112" s="80" t="str">
        <f t="shared" si="2"/>
        <v>07.050,0150,04650,11</v>
      </c>
      <c r="AN112" t="str">
        <f t="shared" si="3"/>
        <v>07.050,0150,04650,035</v>
      </c>
    </row>
    <row r="113" spans="2:40" ht="18" customHeight="1">
      <c r="B113" s="71">
        <v>108</v>
      </c>
      <c r="C113" s="81" t="s">
        <v>325</v>
      </c>
      <c r="D113" s="71" t="s">
        <v>965</v>
      </c>
      <c r="E113" s="82" t="s">
        <v>966</v>
      </c>
      <c r="F113" s="84" t="s">
        <v>838</v>
      </c>
      <c r="G113" s="74">
        <v>0.05</v>
      </c>
      <c r="H113" s="74" t="s">
        <v>824</v>
      </c>
      <c r="I113" s="74">
        <v>0.05</v>
      </c>
      <c r="J113" s="75" t="s">
        <v>824</v>
      </c>
      <c r="K113" s="74"/>
      <c r="L113" s="74"/>
      <c r="M113" s="74"/>
      <c r="N113" s="74"/>
      <c r="O113" s="74"/>
      <c r="P113" s="74"/>
      <c r="Q113" s="74"/>
      <c r="R113" s="74"/>
      <c r="S113" s="74"/>
      <c r="T113" s="74"/>
      <c r="U113" s="74"/>
      <c r="V113" s="74"/>
      <c r="W113" s="74">
        <v>0.05</v>
      </c>
      <c r="X113" s="75" t="s">
        <v>824</v>
      </c>
      <c r="Y113" s="74">
        <v>0.05</v>
      </c>
      <c r="Z113" s="74"/>
      <c r="AA113" s="74">
        <v>0.05</v>
      </c>
      <c r="AB113" s="75" t="s">
        <v>824</v>
      </c>
      <c r="AC113" s="76">
        <v>0.05</v>
      </c>
      <c r="AD113" s="76" t="s">
        <v>824</v>
      </c>
      <c r="AE113" s="76">
        <v>0.02</v>
      </c>
      <c r="AF113" s="75" t="s">
        <v>824</v>
      </c>
      <c r="AG113" s="79">
        <v>0</v>
      </c>
      <c r="AH113" s="78">
        <v>0</v>
      </c>
      <c r="AI113" s="79">
        <v>0</v>
      </c>
      <c r="AJ113" s="78">
        <v>0</v>
      </c>
      <c r="AK113" s="79">
        <v>0</v>
      </c>
      <c r="AL113" s="79">
        <v>0</v>
      </c>
      <c r="AM113" s="80" t="str">
        <f t="shared" si="2"/>
        <v>07.06000</v>
      </c>
      <c r="AN113" t="str">
        <f t="shared" si="3"/>
        <v>07.06000</v>
      </c>
    </row>
    <row r="114" spans="2:40" ht="18" customHeight="1">
      <c r="B114" s="71">
        <v>109</v>
      </c>
      <c r="C114" s="81" t="s">
        <v>325</v>
      </c>
      <c r="D114" s="71" t="s">
        <v>967</v>
      </c>
      <c r="E114" s="82" t="s">
        <v>966</v>
      </c>
      <c r="F114" s="84" t="s">
        <v>840</v>
      </c>
      <c r="G114" s="74">
        <v>0.05</v>
      </c>
      <c r="H114" s="74" t="s">
        <v>824</v>
      </c>
      <c r="I114" s="74">
        <v>0.05</v>
      </c>
      <c r="J114" s="75" t="s">
        <v>824</v>
      </c>
      <c r="K114" s="75"/>
      <c r="L114" s="75"/>
      <c r="M114" s="75"/>
      <c r="N114" s="75"/>
      <c r="O114" s="75"/>
      <c r="P114" s="75"/>
      <c r="Q114" s="75"/>
      <c r="R114" s="75"/>
      <c r="S114" s="75"/>
      <c r="T114" s="75"/>
      <c r="U114" s="75"/>
      <c r="V114" s="75"/>
      <c r="W114" s="74">
        <v>0.05</v>
      </c>
      <c r="X114" s="75" t="s">
        <v>824</v>
      </c>
      <c r="Y114" s="74">
        <v>0.05</v>
      </c>
      <c r="Z114" s="75"/>
      <c r="AA114" s="74">
        <v>0.05</v>
      </c>
      <c r="AB114" s="75" t="s">
        <v>824</v>
      </c>
      <c r="AC114" s="76">
        <v>0.05</v>
      </c>
      <c r="AD114" s="76" t="s">
        <v>824</v>
      </c>
      <c r="AE114" s="76">
        <v>0.02</v>
      </c>
      <c r="AF114" s="75" t="s">
        <v>824</v>
      </c>
      <c r="AG114" s="79">
        <v>0</v>
      </c>
      <c r="AH114" s="78">
        <v>0</v>
      </c>
      <c r="AI114" s="79">
        <v>0</v>
      </c>
      <c r="AJ114" s="78">
        <v>0</v>
      </c>
      <c r="AK114" s="79">
        <v>0.11</v>
      </c>
      <c r="AL114" s="79">
        <v>3.5000000000000003E-2</v>
      </c>
      <c r="AM114" s="80" t="str">
        <f t="shared" si="2"/>
        <v>07.06000,11</v>
      </c>
      <c r="AN114" t="str">
        <f t="shared" si="3"/>
        <v>07.06000,035</v>
      </c>
    </row>
    <row r="115" spans="2:40" ht="18" customHeight="1">
      <c r="B115" s="71">
        <v>110</v>
      </c>
      <c r="C115" s="81" t="s">
        <v>329</v>
      </c>
      <c r="D115" s="71" t="s">
        <v>968</v>
      </c>
      <c r="E115" s="82" t="s">
        <v>969</v>
      </c>
      <c r="F115" s="84" t="s">
        <v>838</v>
      </c>
      <c r="G115" s="74">
        <v>0.05</v>
      </c>
      <c r="H115" s="74" t="s">
        <v>824</v>
      </c>
      <c r="I115" s="74">
        <v>0.05</v>
      </c>
      <c r="J115" s="75" t="s">
        <v>824</v>
      </c>
      <c r="K115" s="75"/>
      <c r="L115" s="75"/>
      <c r="M115" s="75"/>
      <c r="N115" s="75"/>
      <c r="O115" s="75"/>
      <c r="P115" s="75"/>
      <c r="Q115" s="75"/>
      <c r="R115" s="75"/>
      <c r="S115" s="75"/>
      <c r="T115" s="75"/>
      <c r="U115" s="75"/>
      <c r="V115" s="75"/>
      <c r="W115" s="74">
        <v>0.05</v>
      </c>
      <c r="X115" s="75" t="s">
        <v>824</v>
      </c>
      <c r="Y115" s="74">
        <v>0.05</v>
      </c>
      <c r="Z115" s="75"/>
      <c r="AA115" s="74">
        <v>0.05</v>
      </c>
      <c r="AB115" s="75" t="s">
        <v>824</v>
      </c>
      <c r="AC115" s="76">
        <v>0.05</v>
      </c>
      <c r="AD115" s="76" t="s">
        <v>824</v>
      </c>
      <c r="AE115" s="76">
        <v>0.02</v>
      </c>
      <c r="AF115" s="75" t="s">
        <v>824</v>
      </c>
      <c r="AG115" s="79">
        <v>0.01</v>
      </c>
      <c r="AH115" s="78">
        <v>1708</v>
      </c>
      <c r="AI115" s="79">
        <v>4.65E-2</v>
      </c>
      <c r="AJ115" s="78">
        <v>5952</v>
      </c>
      <c r="AK115" s="79">
        <v>0</v>
      </c>
      <c r="AL115" s="79">
        <v>0</v>
      </c>
      <c r="AM115" s="80" t="str">
        <f t="shared" si="2"/>
        <v>07.070,010,04650</v>
      </c>
      <c r="AN115" t="str">
        <f t="shared" si="3"/>
        <v>07.070,010,04650</v>
      </c>
    </row>
    <row r="116" spans="2:40" ht="18" customHeight="1">
      <c r="B116" s="71">
        <v>111</v>
      </c>
      <c r="C116" s="81" t="s">
        <v>332</v>
      </c>
      <c r="D116" s="71" t="s">
        <v>970</v>
      </c>
      <c r="E116" s="82" t="s">
        <v>971</v>
      </c>
      <c r="F116" s="84" t="s">
        <v>838</v>
      </c>
      <c r="G116" s="74">
        <v>0.05</v>
      </c>
      <c r="H116" s="74" t="s">
        <v>824</v>
      </c>
      <c r="I116" s="74">
        <v>0.05</v>
      </c>
      <c r="J116" s="75" t="s">
        <v>824</v>
      </c>
      <c r="K116" s="75"/>
      <c r="L116" s="75"/>
      <c r="M116" s="75"/>
      <c r="N116" s="75"/>
      <c r="O116" s="75"/>
      <c r="P116" s="75"/>
      <c r="Q116" s="75"/>
      <c r="R116" s="75"/>
      <c r="S116" s="75"/>
      <c r="T116" s="75"/>
      <c r="U116" s="75"/>
      <c r="V116" s="75"/>
      <c r="W116" s="74">
        <v>0.05</v>
      </c>
      <c r="X116" s="75" t="s">
        <v>824</v>
      </c>
      <c r="Y116" s="74">
        <v>0.05</v>
      </c>
      <c r="Z116" s="75"/>
      <c r="AA116" s="74">
        <v>0.05</v>
      </c>
      <c r="AB116" s="75" t="s">
        <v>824</v>
      </c>
      <c r="AC116" s="76">
        <v>0.05</v>
      </c>
      <c r="AD116" s="76" t="s">
        <v>824</v>
      </c>
      <c r="AE116" s="76">
        <v>0.02</v>
      </c>
      <c r="AF116" s="75" t="s">
        <v>824</v>
      </c>
      <c r="AG116" s="79">
        <v>0</v>
      </c>
      <c r="AH116" s="78">
        <v>0</v>
      </c>
      <c r="AI116" s="79">
        <v>0</v>
      </c>
      <c r="AJ116" s="78">
        <v>0</v>
      </c>
      <c r="AK116" s="79">
        <v>0</v>
      </c>
      <c r="AL116" s="79">
        <v>0</v>
      </c>
      <c r="AM116" s="80" t="str">
        <f t="shared" si="2"/>
        <v>07.08000</v>
      </c>
      <c r="AN116" t="str">
        <f t="shared" si="3"/>
        <v>07.08000</v>
      </c>
    </row>
    <row r="117" spans="2:40" ht="18" customHeight="1">
      <c r="B117" s="71">
        <v>112</v>
      </c>
      <c r="C117" s="81" t="s">
        <v>335</v>
      </c>
      <c r="D117" s="71" t="s">
        <v>972</v>
      </c>
      <c r="E117" s="82" t="s">
        <v>973</v>
      </c>
      <c r="F117" s="84" t="s">
        <v>838</v>
      </c>
      <c r="G117" s="74">
        <v>0.05</v>
      </c>
      <c r="H117" s="74" t="s">
        <v>870</v>
      </c>
      <c r="I117" s="74">
        <v>0.05</v>
      </c>
      <c r="J117" s="75" t="s">
        <v>849</v>
      </c>
      <c r="K117" s="75"/>
      <c r="L117" s="75"/>
      <c r="M117" s="75"/>
      <c r="N117" s="75" t="s">
        <v>870</v>
      </c>
      <c r="O117" s="75"/>
      <c r="P117" s="75"/>
      <c r="Q117" s="75"/>
      <c r="R117" s="75"/>
      <c r="S117" s="75"/>
      <c r="T117" s="75"/>
      <c r="U117" s="75"/>
      <c r="V117" s="75"/>
      <c r="W117" s="74">
        <v>0.05</v>
      </c>
      <c r="X117" s="75" t="s">
        <v>849</v>
      </c>
      <c r="Y117" s="74">
        <v>0.05</v>
      </c>
      <c r="Z117" s="75"/>
      <c r="AA117" s="74">
        <v>0.05</v>
      </c>
      <c r="AB117" s="75" t="s">
        <v>824</v>
      </c>
      <c r="AC117" s="76">
        <v>0.05</v>
      </c>
      <c r="AD117" s="89" t="s">
        <v>849</v>
      </c>
      <c r="AE117" s="76">
        <v>0.05</v>
      </c>
      <c r="AF117" s="75" t="s">
        <v>870</v>
      </c>
      <c r="AG117" s="79">
        <v>0.01</v>
      </c>
      <c r="AH117" s="78">
        <v>1708</v>
      </c>
      <c r="AI117" s="79">
        <v>4.65E-2</v>
      </c>
      <c r="AJ117" s="78">
        <v>5952</v>
      </c>
      <c r="AK117" s="79">
        <v>0</v>
      </c>
      <c r="AL117" s="79">
        <v>0</v>
      </c>
      <c r="AM117" s="80" t="str">
        <f t="shared" si="2"/>
        <v>07.090,010,04650</v>
      </c>
      <c r="AN117" t="str">
        <f t="shared" si="3"/>
        <v>07.090,010,04650</v>
      </c>
    </row>
    <row r="118" spans="2:40" ht="18" customHeight="1">
      <c r="B118" s="71">
        <v>113</v>
      </c>
      <c r="C118" s="81" t="s">
        <v>335</v>
      </c>
      <c r="D118" s="71" t="s">
        <v>974</v>
      </c>
      <c r="E118" s="82" t="s">
        <v>973</v>
      </c>
      <c r="F118" s="84" t="s">
        <v>840</v>
      </c>
      <c r="G118" s="74">
        <v>0.05</v>
      </c>
      <c r="H118" s="74" t="s">
        <v>870</v>
      </c>
      <c r="I118" s="74">
        <v>0.05</v>
      </c>
      <c r="J118" s="75" t="s">
        <v>849</v>
      </c>
      <c r="K118" s="75"/>
      <c r="L118" s="75"/>
      <c r="M118" s="75"/>
      <c r="N118" s="75" t="s">
        <v>870</v>
      </c>
      <c r="O118" s="75"/>
      <c r="P118" s="75"/>
      <c r="Q118" s="75"/>
      <c r="R118" s="75"/>
      <c r="S118" s="75"/>
      <c r="T118" s="75"/>
      <c r="U118" s="75"/>
      <c r="V118" s="75"/>
      <c r="W118" s="74">
        <v>0.05</v>
      </c>
      <c r="X118" s="75" t="s">
        <v>849</v>
      </c>
      <c r="Y118" s="74">
        <v>0.05</v>
      </c>
      <c r="Z118" s="75"/>
      <c r="AA118" s="74">
        <v>0.05</v>
      </c>
      <c r="AB118" s="75" t="s">
        <v>824</v>
      </c>
      <c r="AC118" s="76">
        <v>0.05</v>
      </c>
      <c r="AD118" s="89" t="s">
        <v>849</v>
      </c>
      <c r="AE118" s="76">
        <v>0.05</v>
      </c>
      <c r="AF118" s="75" t="s">
        <v>870</v>
      </c>
      <c r="AG118" s="79">
        <v>0.01</v>
      </c>
      <c r="AH118" s="78">
        <v>1708</v>
      </c>
      <c r="AI118" s="79">
        <v>4.65E-2</v>
      </c>
      <c r="AJ118" s="78">
        <v>5952</v>
      </c>
      <c r="AK118" s="79">
        <v>0.11</v>
      </c>
      <c r="AL118" s="79">
        <v>3.5000000000000003E-2</v>
      </c>
      <c r="AM118" s="80" t="str">
        <f t="shared" si="2"/>
        <v>07.090,010,04650,11</v>
      </c>
      <c r="AN118" t="str">
        <f t="shared" si="3"/>
        <v>07.090,010,04650,035</v>
      </c>
    </row>
    <row r="119" spans="2:40" ht="18" customHeight="1">
      <c r="B119" s="71">
        <v>114</v>
      </c>
      <c r="C119" s="81" t="s">
        <v>335</v>
      </c>
      <c r="D119" s="71" t="s">
        <v>975</v>
      </c>
      <c r="E119" s="82" t="s">
        <v>973</v>
      </c>
      <c r="F119" s="84" t="s">
        <v>976</v>
      </c>
      <c r="G119" s="74">
        <v>0.05</v>
      </c>
      <c r="H119" s="74" t="s">
        <v>870</v>
      </c>
      <c r="I119" s="74">
        <v>0.05</v>
      </c>
      <c r="J119" s="75" t="s">
        <v>849</v>
      </c>
      <c r="K119" s="74"/>
      <c r="L119" s="74"/>
      <c r="M119" s="74"/>
      <c r="N119" s="74" t="s">
        <v>870</v>
      </c>
      <c r="O119" s="74"/>
      <c r="P119" s="74"/>
      <c r="Q119" s="74"/>
      <c r="R119" s="74"/>
      <c r="S119" s="74"/>
      <c r="T119" s="74"/>
      <c r="U119" s="74"/>
      <c r="V119" s="74"/>
      <c r="W119" s="74">
        <v>0.05</v>
      </c>
      <c r="X119" s="75" t="s">
        <v>849</v>
      </c>
      <c r="Y119" s="74">
        <v>0.05</v>
      </c>
      <c r="Z119" s="74"/>
      <c r="AA119" s="74">
        <v>0.05</v>
      </c>
      <c r="AB119" s="75" t="s">
        <v>824</v>
      </c>
      <c r="AC119" s="76">
        <v>0.05</v>
      </c>
      <c r="AD119" s="89" t="s">
        <v>849</v>
      </c>
      <c r="AE119" s="76">
        <v>0.05</v>
      </c>
      <c r="AF119" s="75" t="s">
        <v>870</v>
      </c>
      <c r="AG119" s="79">
        <v>0</v>
      </c>
      <c r="AH119" s="78">
        <v>0</v>
      </c>
      <c r="AI119" s="79">
        <v>0</v>
      </c>
      <c r="AJ119" s="78">
        <v>0</v>
      </c>
      <c r="AK119" s="79">
        <v>0</v>
      </c>
      <c r="AL119" s="79">
        <v>0</v>
      </c>
      <c r="AM119" s="80" t="str">
        <f t="shared" si="2"/>
        <v>07.09000</v>
      </c>
      <c r="AN119" t="str">
        <f t="shared" si="3"/>
        <v>07.09000</v>
      </c>
    </row>
    <row r="120" spans="2:40" ht="18" customHeight="1">
      <c r="B120" s="71">
        <v>115</v>
      </c>
      <c r="C120" s="81" t="s">
        <v>338</v>
      </c>
      <c r="D120" s="71" t="s">
        <v>977</v>
      </c>
      <c r="E120" s="82" t="s">
        <v>978</v>
      </c>
      <c r="F120" s="85" t="s">
        <v>838</v>
      </c>
      <c r="G120" s="90">
        <v>2.5000000000000001E-2</v>
      </c>
      <c r="H120" s="74" t="s">
        <v>870</v>
      </c>
      <c r="I120" s="74">
        <v>0.02</v>
      </c>
      <c r="J120" s="75" t="s">
        <v>849</v>
      </c>
      <c r="K120" s="91">
        <v>2.5000000000000001E-2</v>
      </c>
      <c r="L120" s="74" t="s">
        <v>870</v>
      </c>
      <c r="M120" s="74">
        <v>0.05</v>
      </c>
      <c r="N120" s="74" t="s">
        <v>870</v>
      </c>
      <c r="O120" s="74"/>
      <c r="P120" s="74"/>
      <c r="Q120" s="74"/>
      <c r="R120" s="74"/>
      <c r="S120" s="74">
        <v>0.05</v>
      </c>
      <c r="T120" s="74" t="s">
        <v>849</v>
      </c>
      <c r="U120" s="74">
        <v>0.05</v>
      </c>
      <c r="V120" s="74" t="s">
        <v>849</v>
      </c>
      <c r="W120" s="74">
        <v>0.05</v>
      </c>
      <c r="X120" s="75" t="s">
        <v>849</v>
      </c>
      <c r="Y120" s="74">
        <v>0.05</v>
      </c>
      <c r="Z120" s="74"/>
      <c r="AA120" s="74" t="s">
        <v>979</v>
      </c>
      <c r="AB120" s="75" t="s">
        <v>849</v>
      </c>
      <c r="AC120" s="76">
        <v>0.05</v>
      </c>
      <c r="AD120" s="89" t="s">
        <v>849</v>
      </c>
      <c r="AE120" s="76">
        <v>0.02</v>
      </c>
      <c r="AF120" s="75" t="s">
        <v>870</v>
      </c>
      <c r="AG120" s="79">
        <v>0.01</v>
      </c>
      <c r="AH120" s="78">
        <v>1708</v>
      </c>
      <c r="AI120" s="79">
        <v>4.65E-2</v>
      </c>
      <c r="AJ120" s="78">
        <v>5952</v>
      </c>
      <c r="AK120" s="79">
        <v>0</v>
      </c>
      <c r="AL120" s="79">
        <v>0</v>
      </c>
      <c r="AM120" s="80" t="str">
        <f t="shared" si="2"/>
        <v>07.100,010,04650</v>
      </c>
      <c r="AN120" t="str">
        <f t="shared" si="3"/>
        <v>07.100,010,04650</v>
      </c>
    </row>
    <row r="121" spans="2:40" ht="18" customHeight="1">
      <c r="B121" s="71">
        <v>116</v>
      </c>
      <c r="C121" s="81" t="s">
        <v>338</v>
      </c>
      <c r="D121" s="71" t="s">
        <v>980</v>
      </c>
      <c r="E121" s="82" t="s">
        <v>978</v>
      </c>
      <c r="F121" s="85" t="s">
        <v>840</v>
      </c>
      <c r="G121" s="90">
        <v>2.5000000000000001E-2</v>
      </c>
      <c r="H121" s="74" t="s">
        <v>870</v>
      </c>
      <c r="I121" s="74">
        <v>0.02</v>
      </c>
      <c r="J121" s="75" t="s">
        <v>849</v>
      </c>
      <c r="K121" s="91">
        <v>2.5000000000000001E-2</v>
      </c>
      <c r="L121" s="91" t="s">
        <v>870</v>
      </c>
      <c r="M121" s="74">
        <v>0.05</v>
      </c>
      <c r="N121" s="74" t="s">
        <v>870</v>
      </c>
      <c r="O121" s="74"/>
      <c r="P121" s="74"/>
      <c r="Q121" s="74"/>
      <c r="R121" s="74"/>
      <c r="S121" s="74">
        <v>0.05</v>
      </c>
      <c r="T121" s="74" t="s">
        <v>849</v>
      </c>
      <c r="U121" s="74">
        <v>0.05</v>
      </c>
      <c r="V121" s="74" t="s">
        <v>849</v>
      </c>
      <c r="W121" s="74">
        <v>0.05</v>
      </c>
      <c r="X121" s="75" t="s">
        <v>849</v>
      </c>
      <c r="Y121" s="74">
        <v>0.05</v>
      </c>
      <c r="Z121" s="74"/>
      <c r="AA121" s="74" t="s">
        <v>979</v>
      </c>
      <c r="AB121" s="75" t="s">
        <v>849</v>
      </c>
      <c r="AC121" s="76">
        <v>0.05</v>
      </c>
      <c r="AD121" s="89" t="s">
        <v>849</v>
      </c>
      <c r="AE121" s="76">
        <v>0.02</v>
      </c>
      <c r="AF121" s="75" t="s">
        <v>870</v>
      </c>
      <c r="AG121" s="79">
        <v>0.01</v>
      </c>
      <c r="AH121" s="78">
        <v>1708</v>
      </c>
      <c r="AI121" s="79">
        <v>4.65E-2</v>
      </c>
      <c r="AJ121" s="78">
        <v>5952</v>
      </c>
      <c r="AK121" s="79">
        <v>0.11</v>
      </c>
      <c r="AL121" s="79">
        <v>3.5000000000000003E-2</v>
      </c>
      <c r="AM121" s="80" t="str">
        <f t="shared" si="2"/>
        <v>07.100,010,04650,11</v>
      </c>
      <c r="AN121" t="str">
        <f t="shared" si="3"/>
        <v>07.100,010,04650,035</v>
      </c>
    </row>
    <row r="122" spans="2:40" ht="18" customHeight="1">
      <c r="B122" s="71">
        <v>117</v>
      </c>
      <c r="C122" s="81" t="s">
        <v>338</v>
      </c>
      <c r="D122" s="71" t="s">
        <v>981</v>
      </c>
      <c r="E122" s="82" t="s">
        <v>978</v>
      </c>
      <c r="F122" s="85" t="s">
        <v>982</v>
      </c>
      <c r="G122" s="74">
        <v>0.05</v>
      </c>
      <c r="H122" s="74" t="s">
        <v>870</v>
      </c>
      <c r="I122" s="74">
        <v>0.02</v>
      </c>
      <c r="J122" s="75" t="s">
        <v>849</v>
      </c>
      <c r="K122" s="91">
        <v>2.5000000000000001E-2</v>
      </c>
      <c r="L122" s="91" t="s">
        <v>870</v>
      </c>
      <c r="M122" s="74">
        <v>0.05</v>
      </c>
      <c r="N122" s="74" t="s">
        <v>870</v>
      </c>
      <c r="O122" s="74"/>
      <c r="P122" s="74"/>
      <c r="Q122" s="74"/>
      <c r="R122" s="74"/>
      <c r="S122" s="74">
        <v>0.05</v>
      </c>
      <c r="T122" s="74" t="s">
        <v>849</v>
      </c>
      <c r="U122" s="74">
        <v>0.05</v>
      </c>
      <c r="V122" s="74" t="s">
        <v>849</v>
      </c>
      <c r="W122" s="74">
        <v>0.05</v>
      </c>
      <c r="X122" s="75" t="s">
        <v>849</v>
      </c>
      <c r="Y122" s="74">
        <v>0.05</v>
      </c>
      <c r="Z122" s="74"/>
      <c r="AA122" s="74" t="s">
        <v>979</v>
      </c>
      <c r="AB122" s="75" t="s">
        <v>849</v>
      </c>
      <c r="AC122" s="76">
        <v>0.05</v>
      </c>
      <c r="AD122" s="89" t="s">
        <v>849</v>
      </c>
      <c r="AE122" s="76">
        <v>0.02</v>
      </c>
      <c r="AF122" s="75" t="s">
        <v>870</v>
      </c>
      <c r="AG122" s="79">
        <v>0.01</v>
      </c>
      <c r="AH122" s="78">
        <v>1708</v>
      </c>
      <c r="AI122" s="79">
        <v>4.65E-2</v>
      </c>
      <c r="AJ122" s="78">
        <v>5952</v>
      </c>
      <c r="AK122" s="79">
        <v>0.11</v>
      </c>
      <c r="AL122" s="79">
        <v>3.5000000000000003E-2</v>
      </c>
      <c r="AM122" s="80" t="str">
        <f t="shared" si="2"/>
        <v>07.100,010,04650,11</v>
      </c>
      <c r="AN122" t="str">
        <f t="shared" si="3"/>
        <v>07.100,010,04650,035</v>
      </c>
    </row>
    <row r="123" spans="2:40" ht="18" customHeight="1">
      <c r="B123" s="71">
        <v>118</v>
      </c>
      <c r="C123" s="81" t="s">
        <v>338</v>
      </c>
      <c r="D123" s="71" t="s">
        <v>983</v>
      </c>
      <c r="E123" s="82" t="s">
        <v>978</v>
      </c>
      <c r="F123" s="85" t="s">
        <v>984</v>
      </c>
      <c r="G123" s="74">
        <v>0.05</v>
      </c>
      <c r="H123" s="74" t="s">
        <v>870</v>
      </c>
      <c r="I123" s="74">
        <v>0.02</v>
      </c>
      <c r="J123" s="75" t="s">
        <v>849</v>
      </c>
      <c r="K123" s="91">
        <v>2.5000000000000001E-2</v>
      </c>
      <c r="L123" s="91" t="s">
        <v>870</v>
      </c>
      <c r="M123" s="74">
        <v>0.05</v>
      </c>
      <c r="N123" s="74" t="s">
        <v>870</v>
      </c>
      <c r="O123" s="74"/>
      <c r="P123" s="74"/>
      <c r="Q123" s="74"/>
      <c r="R123" s="74"/>
      <c r="S123" s="74">
        <v>0.05</v>
      </c>
      <c r="T123" s="74" t="s">
        <v>849</v>
      </c>
      <c r="U123" s="74">
        <v>0.05</v>
      </c>
      <c r="V123" s="74" t="s">
        <v>849</v>
      </c>
      <c r="W123" s="74">
        <v>0.05</v>
      </c>
      <c r="X123" s="75" t="s">
        <v>849</v>
      </c>
      <c r="Y123" s="74">
        <v>0.05</v>
      </c>
      <c r="Z123" s="74"/>
      <c r="AA123" s="74" t="s">
        <v>979</v>
      </c>
      <c r="AB123" s="75" t="s">
        <v>849</v>
      </c>
      <c r="AC123" s="76">
        <v>0.05</v>
      </c>
      <c r="AD123" s="89" t="s">
        <v>849</v>
      </c>
      <c r="AE123" s="76">
        <v>0.02</v>
      </c>
      <c r="AF123" s="75" t="s">
        <v>870</v>
      </c>
      <c r="AG123" s="79">
        <v>0.01</v>
      </c>
      <c r="AH123" s="78">
        <v>1708</v>
      </c>
      <c r="AI123" s="79">
        <v>4.65E-2</v>
      </c>
      <c r="AJ123" s="78">
        <v>5952</v>
      </c>
      <c r="AK123" s="79">
        <v>0.11</v>
      </c>
      <c r="AL123" s="79">
        <v>3.5000000000000003E-2</v>
      </c>
      <c r="AM123" s="80" t="str">
        <f t="shared" si="2"/>
        <v>07.100,010,04650,11</v>
      </c>
      <c r="AN123" t="str">
        <f t="shared" si="3"/>
        <v>07.100,010,04650,035</v>
      </c>
    </row>
    <row r="124" spans="2:40" ht="18" customHeight="1">
      <c r="B124" s="71">
        <v>119</v>
      </c>
      <c r="C124" s="81" t="s">
        <v>341</v>
      </c>
      <c r="D124" s="71" t="s">
        <v>985</v>
      </c>
      <c r="E124" s="82" t="s">
        <v>986</v>
      </c>
      <c r="F124" s="85" t="s">
        <v>838</v>
      </c>
      <c r="G124" s="74">
        <v>0.05</v>
      </c>
      <c r="H124" s="74" t="s">
        <v>870</v>
      </c>
      <c r="I124" s="74">
        <v>0.05</v>
      </c>
      <c r="J124" s="75" t="s">
        <v>849</v>
      </c>
      <c r="K124" s="91"/>
      <c r="L124" s="91"/>
      <c r="M124" s="74"/>
      <c r="N124" s="74"/>
      <c r="O124" s="74"/>
      <c r="P124" s="74"/>
      <c r="Q124" s="74"/>
      <c r="R124" s="74"/>
      <c r="S124" s="74"/>
      <c r="T124" s="74"/>
      <c r="U124" s="74">
        <v>0.05</v>
      </c>
      <c r="V124" s="74" t="s">
        <v>870</v>
      </c>
      <c r="W124" s="74">
        <v>0.05</v>
      </c>
      <c r="X124" s="75" t="s">
        <v>824</v>
      </c>
      <c r="Y124" s="74">
        <v>0.05</v>
      </c>
      <c r="Z124" s="74"/>
      <c r="AA124" s="74">
        <v>0.05</v>
      </c>
      <c r="AB124" s="75" t="s">
        <v>849</v>
      </c>
      <c r="AC124" s="76">
        <v>0.05</v>
      </c>
      <c r="AD124" s="89" t="s">
        <v>849</v>
      </c>
      <c r="AE124" s="76">
        <v>0.02</v>
      </c>
      <c r="AF124" s="75" t="s">
        <v>870</v>
      </c>
      <c r="AG124" s="79">
        <v>0.01</v>
      </c>
      <c r="AH124" s="78">
        <v>1708</v>
      </c>
      <c r="AI124" s="79">
        <v>4.65E-2</v>
      </c>
      <c r="AJ124" s="78">
        <v>5952</v>
      </c>
      <c r="AK124" s="79">
        <v>0</v>
      </c>
      <c r="AL124" s="79">
        <v>0</v>
      </c>
      <c r="AM124" s="80" t="str">
        <f t="shared" si="2"/>
        <v>07.110,010,04650</v>
      </c>
      <c r="AN124" t="str">
        <f t="shared" si="3"/>
        <v>07.110,010,04650</v>
      </c>
    </row>
    <row r="125" spans="2:40" ht="18" customHeight="1">
      <c r="B125" s="71">
        <v>120</v>
      </c>
      <c r="C125" s="81" t="s">
        <v>341</v>
      </c>
      <c r="D125" s="71" t="s">
        <v>987</v>
      </c>
      <c r="E125" s="82" t="s">
        <v>986</v>
      </c>
      <c r="F125" s="85" t="s">
        <v>840</v>
      </c>
      <c r="G125" s="74">
        <v>0.05</v>
      </c>
      <c r="H125" s="74" t="s">
        <v>870</v>
      </c>
      <c r="I125" s="74">
        <v>0.05</v>
      </c>
      <c r="J125" s="75" t="s">
        <v>849</v>
      </c>
      <c r="K125" s="75"/>
      <c r="L125" s="75"/>
      <c r="M125" s="75"/>
      <c r="N125" s="75"/>
      <c r="O125" s="75"/>
      <c r="P125" s="75"/>
      <c r="Q125" s="75"/>
      <c r="R125" s="75"/>
      <c r="S125" s="75"/>
      <c r="T125" s="75"/>
      <c r="U125" s="75">
        <v>5</v>
      </c>
      <c r="V125" s="75" t="s">
        <v>870</v>
      </c>
      <c r="W125" s="74">
        <v>0.05</v>
      </c>
      <c r="X125" s="75" t="s">
        <v>824</v>
      </c>
      <c r="Y125" s="74">
        <v>0.05</v>
      </c>
      <c r="Z125" s="75"/>
      <c r="AA125" s="74">
        <v>0.05</v>
      </c>
      <c r="AB125" s="75" t="s">
        <v>849</v>
      </c>
      <c r="AC125" s="76">
        <v>0.05</v>
      </c>
      <c r="AD125" s="89" t="s">
        <v>849</v>
      </c>
      <c r="AE125" s="76">
        <v>0.02</v>
      </c>
      <c r="AF125" s="75" t="s">
        <v>870</v>
      </c>
      <c r="AG125" s="79">
        <v>0.01</v>
      </c>
      <c r="AH125" s="78">
        <v>1708</v>
      </c>
      <c r="AI125" s="79">
        <v>4.65E-2</v>
      </c>
      <c r="AJ125" s="78">
        <v>5952</v>
      </c>
      <c r="AK125" s="79">
        <v>0.11</v>
      </c>
      <c r="AL125" s="79">
        <v>3.5000000000000003E-2</v>
      </c>
      <c r="AM125" s="80" t="str">
        <f t="shared" si="2"/>
        <v>07.110,010,04650,11</v>
      </c>
      <c r="AN125" t="str">
        <f t="shared" si="3"/>
        <v>07.110,010,04650,035</v>
      </c>
    </row>
    <row r="126" spans="2:40" ht="18" customHeight="1">
      <c r="B126" s="71">
        <v>121</v>
      </c>
      <c r="C126" s="81" t="s">
        <v>344</v>
      </c>
      <c r="D126" s="71" t="s">
        <v>988</v>
      </c>
      <c r="E126" s="82" t="s">
        <v>989</v>
      </c>
      <c r="F126" s="85" t="s">
        <v>838</v>
      </c>
      <c r="G126" s="74">
        <v>0.05</v>
      </c>
      <c r="H126" s="74" t="s">
        <v>870</v>
      </c>
      <c r="I126" s="74">
        <v>0.05</v>
      </c>
      <c r="J126" s="75" t="s">
        <v>849</v>
      </c>
      <c r="K126" s="75"/>
      <c r="L126" s="75"/>
      <c r="M126" s="75"/>
      <c r="N126" s="75" t="s">
        <v>870</v>
      </c>
      <c r="O126" s="75"/>
      <c r="P126" s="75"/>
      <c r="Q126" s="75"/>
      <c r="R126" s="75"/>
      <c r="S126" s="75"/>
      <c r="T126" s="75"/>
      <c r="U126" s="75"/>
      <c r="V126" s="75"/>
      <c r="W126" s="74">
        <v>0.05</v>
      </c>
      <c r="X126" s="75" t="s">
        <v>849</v>
      </c>
      <c r="Y126" s="74">
        <v>0.05</v>
      </c>
      <c r="Z126" s="75"/>
      <c r="AA126" s="74">
        <v>0.05</v>
      </c>
      <c r="AB126" s="75" t="s">
        <v>849</v>
      </c>
      <c r="AC126" s="76">
        <v>0.05</v>
      </c>
      <c r="AD126" s="89" t="s">
        <v>849</v>
      </c>
      <c r="AE126" s="76">
        <v>0.02</v>
      </c>
      <c r="AF126" s="75" t="s">
        <v>870</v>
      </c>
      <c r="AG126" s="79">
        <v>0</v>
      </c>
      <c r="AH126" s="78">
        <v>0</v>
      </c>
      <c r="AI126" s="79">
        <v>0</v>
      </c>
      <c r="AJ126" s="78">
        <v>0</v>
      </c>
      <c r="AK126" s="79">
        <v>0</v>
      </c>
      <c r="AL126" s="79">
        <v>0</v>
      </c>
      <c r="AM126" s="80" t="str">
        <f t="shared" si="2"/>
        <v>07.12000</v>
      </c>
      <c r="AN126" t="str">
        <f t="shared" si="3"/>
        <v>07.12000</v>
      </c>
    </row>
    <row r="127" spans="2:40" ht="18" customHeight="1">
      <c r="B127" s="71">
        <v>122</v>
      </c>
      <c r="C127" s="81" t="s">
        <v>344</v>
      </c>
      <c r="D127" s="71" t="s">
        <v>990</v>
      </c>
      <c r="E127" s="82" t="s">
        <v>989</v>
      </c>
      <c r="F127" s="85" t="s">
        <v>840</v>
      </c>
      <c r="G127" s="74">
        <v>0.05</v>
      </c>
      <c r="H127" s="74" t="s">
        <v>870</v>
      </c>
      <c r="I127" s="74">
        <v>0.05</v>
      </c>
      <c r="J127" s="75" t="s">
        <v>849</v>
      </c>
      <c r="K127" s="74"/>
      <c r="L127" s="74"/>
      <c r="M127" s="74"/>
      <c r="N127" s="74" t="s">
        <v>870</v>
      </c>
      <c r="O127" s="74"/>
      <c r="P127" s="74"/>
      <c r="Q127" s="74"/>
      <c r="R127" s="74"/>
      <c r="S127" s="74"/>
      <c r="T127" s="74"/>
      <c r="U127" s="74"/>
      <c r="V127" s="74"/>
      <c r="W127" s="74">
        <v>0.05</v>
      </c>
      <c r="X127" s="75" t="s">
        <v>849</v>
      </c>
      <c r="Y127" s="74">
        <v>0.05</v>
      </c>
      <c r="Z127" s="74"/>
      <c r="AA127" s="74">
        <v>0.05</v>
      </c>
      <c r="AB127" s="75" t="s">
        <v>849</v>
      </c>
      <c r="AC127" s="76">
        <v>0.05</v>
      </c>
      <c r="AD127" s="89" t="s">
        <v>849</v>
      </c>
      <c r="AE127" s="76">
        <v>0.02</v>
      </c>
      <c r="AF127" s="75" t="s">
        <v>870</v>
      </c>
      <c r="AG127" s="79">
        <v>0</v>
      </c>
      <c r="AH127" s="78">
        <v>0</v>
      </c>
      <c r="AI127" s="79">
        <v>0</v>
      </c>
      <c r="AJ127" s="78">
        <v>0</v>
      </c>
      <c r="AK127" s="79">
        <v>0.11</v>
      </c>
      <c r="AL127" s="79">
        <v>3.5000000000000003E-2</v>
      </c>
      <c r="AM127" s="80" t="str">
        <f t="shared" si="2"/>
        <v>07.12000,11</v>
      </c>
      <c r="AN127" t="str">
        <f t="shared" si="3"/>
        <v>07.12000,035</v>
      </c>
    </row>
    <row r="128" spans="2:40" ht="18" customHeight="1">
      <c r="B128" s="71">
        <v>123</v>
      </c>
      <c r="C128" s="81" t="s">
        <v>347</v>
      </c>
      <c r="D128" s="71" t="s">
        <v>991</v>
      </c>
      <c r="E128" s="82" t="s">
        <v>992</v>
      </c>
      <c r="F128" s="85" t="s">
        <v>838</v>
      </c>
      <c r="G128" s="74">
        <v>0.05</v>
      </c>
      <c r="H128" s="74" t="s">
        <v>824</v>
      </c>
      <c r="I128" s="74">
        <v>0.05</v>
      </c>
      <c r="J128" s="75" t="s">
        <v>824</v>
      </c>
      <c r="K128" s="74"/>
      <c r="L128" s="74"/>
      <c r="M128" s="74"/>
      <c r="N128" s="74"/>
      <c r="O128" s="74"/>
      <c r="P128" s="74"/>
      <c r="Q128" s="74"/>
      <c r="R128" s="74"/>
      <c r="S128" s="74"/>
      <c r="T128" s="74"/>
      <c r="U128" s="74"/>
      <c r="V128" s="74"/>
      <c r="W128" s="74">
        <v>0.05</v>
      </c>
      <c r="X128" s="75" t="s">
        <v>849</v>
      </c>
      <c r="Y128" s="74">
        <v>0.05</v>
      </c>
      <c r="Z128" s="74"/>
      <c r="AA128" s="74">
        <v>0.05</v>
      </c>
      <c r="AB128" s="75" t="s">
        <v>824</v>
      </c>
      <c r="AC128" s="76">
        <v>0.05</v>
      </c>
      <c r="AD128" s="76" t="s">
        <v>824</v>
      </c>
      <c r="AE128" s="76">
        <v>0.02</v>
      </c>
      <c r="AF128" s="75" t="s">
        <v>824</v>
      </c>
      <c r="AG128" s="79">
        <v>0.01</v>
      </c>
      <c r="AH128" s="78">
        <v>1708</v>
      </c>
      <c r="AI128" s="79">
        <v>4.65E-2</v>
      </c>
      <c r="AJ128" s="78">
        <v>5952</v>
      </c>
      <c r="AK128" s="79">
        <v>0</v>
      </c>
      <c r="AL128" s="79">
        <v>0</v>
      </c>
      <c r="AM128" s="80" t="str">
        <f t="shared" si="2"/>
        <v>07.130,010,04650</v>
      </c>
      <c r="AN128" t="str">
        <f t="shared" si="3"/>
        <v>07.130,010,04650</v>
      </c>
    </row>
    <row r="129" spans="2:40" ht="18" customHeight="1">
      <c r="B129" s="71">
        <v>124</v>
      </c>
      <c r="C129" s="81" t="s">
        <v>347</v>
      </c>
      <c r="D129" s="71" t="s">
        <v>993</v>
      </c>
      <c r="E129" s="82" t="s">
        <v>992</v>
      </c>
      <c r="F129" s="85" t="s">
        <v>840</v>
      </c>
      <c r="G129" s="74">
        <v>0.05</v>
      </c>
      <c r="H129" s="74" t="s">
        <v>824</v>
      </c>
      <c r="I129" s="74">
        <v>0.05</v>
      </c>
      <c r="J129" s="75" t="s">
        <v>824</v>
      </c>
      <c r="K129" s="75"/>
      <c r="L129" s="75"/>
      <c r="M129" s="75"/>
      <c r="N129" s="75"/>
      <c r="O129" s="75"/>
      <c r="P129" s="75"/>
      <c r="Q129" s="75"/>
      <c r="R129" s="75"/>
      <c r="S129" s="75"/>
      <c r="T129" s="75"/>
      <c r="U129" s="75"/>
      <c r="V129" s="75"/>
      <c r="W129" s="74">
        <v>0.05</v>
      </c>
      <c r="X129" s="75" t="s">
        <v>849</v>
      </c>
      <c r="Y129" s="74">
        <v>0.05</v>
      </c>
      <c r="Z129" s="75"/>
      <c r="AA129" s="74">
        <v>0.05</v>
      </c>
      <c r="AB129" s="75" t="s">
        <v>824</v>
      </c>
      <c r="AC129" s="76">
        <v>0.05</v>
      </c>
      <c r="AD129" s="76" t="s">
        <v>824</v>
      </c>
      <c r="AE129" s="76">
        <v>0.02</v>
      </c>
      <c r="AF129" s="75" t="s">
        <v>824</v>
      </c>
      <c r="AG129" s="79">
        <v>0.01</v>
      </c>
      <c r="AH129" s="78">
        <v>1708</v>
      </c>
      <c r="AI129" s="79">
        <v>4.65E-2</v>
      </c>
      <c r="AJ129" s="78">
        <v>5952</v>
      </c>
      <c r="AK129" s="79">
        <v>0.11</v>
      </c>
      <c r="AL129" s="79">
        <v>3.5000000000000003E-2</v>
      </c>
      <c r="AM129" s="80" t="str">
        <f t="shared" si="2"/>
        <v>07.130,010,04650,11</v>
      </c>
      <c r="AN129" t="str">
        <f t="shared" si="3"/>
        <v>07.130,010,04650,035</v>
      </c>
    </row>
    <row r="130" spans="2:40" ht="18" customHeight="1">
      <c r="B130" s="71">
        <v>125</v>
      </c>
      <c r="C130" s="81" t="s">
        <v>350</v>
      </c>
      <c r="D130" s="71" t="s">
        <v>994</v>
      </c>
      <c r="E130" s="82" t="s">
        <v>995</v>
      </c>
      <c r="F130" s="85" t="s">
        <v>838</v>
      </c>
      <c r="G130" s="74">
        <v>0.05</v>
      </c>
      <c r="H130" s="74" t="s">
        <v>824</v>
      </c>
      <c r="I130" s="74">
        <v>0.05</v>
      </c>
      <c r="J130" s="75" t="s">
        <v>849</v>
      </c>
      <c r="K130" s="74"/>
      <c r="L130" s="74"/>
      <c r="M130" s="74"/>
      <c r="N130" s="74" t="s">
        <v>870</v>
      </c>
      <c r="O130" s="74"/>
      <c r="P130" s="74"/>
      <c r="Q130" s="74"/>
      <c r="R130" s="74"/>
      <c r="S130" s="74"/>
      <c r="T130" s="74"/>
      <c r="U130" s="74"/>
      <c r="V130" s="74"/>
      <c r="W130" s="74">
        <v>0.05</v>
      </c>
      <c r="X130" s="75" t="s">
        <v>824</v>
      </c>
      <c r="Y130" s="74">
        <v>0.05</v>
      </c>
      <c r="Z130" s="74"/>
      <c r="AA130" s="74">
        <v>0.05</v>
      </c>
      <c r="AB130" s="75" t="s">
        <v>849</v>
      </c>
      <c r="AC130" s="76">
        <v>0.05</v>
      </c>
      <c r="AD130" s="89" t="s">
        <v>849</v>
      </c>
      <c r="AE130" s="76">
        <v>0.02</v>
      </c>
      <c r="AF130" s="75" t="s">
        <v>870</v>
      </c>
      <c r="AG130" s="79">
        <v>0</v>
      </c>
      <c r="AH130" s="78">
        <v>0</v>
      </c>
      <c r="AI130" s="79">
        <v>0</v>
      </c>
      <c r="AJ130" s="78">
        <v>0</v>
      </c>
      <c r="AK130" s="79">
        <v>0</v>
      </c>
      <c r="AL130" s="79">
        <v>0</v>
      </c>
      <c r="AM130" s="80" t="str">
        <f t="shared" si="2"/>
        <v>07.16000</v>
      </c>
      <c r="AN130" t="str">
        <f t="shared" si="3"/>
        <v>07.16000</v>
      </c>
    </row>
    <row r="131" spans="2:40" ht="18" customHeight="1">
      <c r="B131" s="71">
        <v>126</v>
      </c>
      <c r="C131" s="81" t="s">
        <v>354</v>
      </c>
      <c r="D131" s="71" t="s">
        <v>996</v>
      </c>
      <c r="E131" s="82" t="s">
        <v>997</v>
      </c>
      <c r="F131" s="85" t="s">
        <v>838</v>
      </c>
      <c r="G131" s="74">
        <v>0.05</v>
      </c>
      <c r="H131" s="74" t="s">
        <v>824</v>
      </c>
      <c r="I131" s="74">
        <v>0.05</v>
      </c>
      <c r="J131" s="75" t="s">
        <v>849</v>
      </c>
      <c r="K131" s="74"/>
      <c r="L131" s="74"/>
      <c r="M131" s="91"/>
      <c r="N131" s="91" t="s">
        <v>870</v>
      </c>
      <c r="O131" s="91"/>
      <c r="P131" s="91"/>
      <c r="Q131" s="91"/>
      <c r="R131" s="91"/>
      <c r="S131" s="91"/>
      <c r="T131" s="91"/>
      <c r="U131" s="91"/>
      <c r="V131" s="91"/>
      <c r="W131" s="74">
        <v>0.05</v>
      </c>
      <c r="X131" s="75" t="s">
        <v>824</v>
      </c>
      <c r="Y131" s="74">
        <v>0.05</v>
      </c>
      <c r="Z131" s="91"/>
      <c r="AA131" s="74">
        <v>0.05</v>
      </c>
      <c r="AB131" s="75" t="s">
        <v>849</v>
      </c>
      <c r="AC131" s="76">
        <v>0.02</v>
      </c>
      <c r="AD131" s="89" t="s">
        <v>849</v>
      </c>
      <c r="AE131" s="76">
        <v>0.02</v>
      </c>
      <c r="AF131" s="75" t="s">
        <v>870</v>
      </c>
      <c r="AG131" s="79">
        <v>0.01</v>
      </c>
      <c r="AH131" s="78">
        <v>1708</v>
      </c>
      <c r="AI131" s="79">
        <v>4.65E-2</v>
      </c>
      <c r="AJ131" s="78">
        <v>5952</v>
      </c>
      <c r="AK131" s="79">
        <v>0</v>
      </c>
      <c r="AL131" s="79">
        <v>0</v>
      </c>
      <c r="AM131" s="80" t="str">
        <f t="shared" si="2"/>
        <v>07.170,010,04650</v>
      </c>
      <c r="AN131" t="str">
        <f t="shared" si="3"/>
        <v>07.170,010,04650</v>
      </c>
    </row>
    <row r="132" spans="2:40" ht="18" customHeight="1">
      <c r="B132" s="71">
        <v>127</v>
      </c>
      <c r="C132" s="81" t="s">
        <v>357</v>
      </c>
      <c r="D132" s="71" t="s">
        <v>998</v>
      </c>
      <c r="E132" s="82" t="s">
        <v>999</v>
      </c>
      <c r="F132" s="85" t="s">
        <v>838</v>
      </c>
      <c r="G132" s="74">
        <v>0.05</v>
      </c>
      <c r="H132" s="74" t="s">
        <v>824</v>
      </c>
      <c r="I132" s="74">
        <v>0.05</v>
      </c>
      <c r="J132" s="75" t="s">
        <v>849</v>
      </c>
      <c r="K132" s="74"/>
      <c r="L132" s="74"/>
      <c r="M132" s="91"/>
      <c r="N132" s="91"/>
      <c r="O132" s="91"/>
      <c r="P132" s="91"/>
      <c r="Q132" s="91"/>
      <c r="R132" s="91"/>
      <c r="S132" s="91"/>
      <c r="T132" s="91"/>
      <c r="U132" s="91"/>
      <c r="V132" s="91"/>
      <c r="W132" s="74">
        <v>0.05</v>
      </c>
      <c r="X132" s="75" t="s">
        <v>824</v>
      </c>
      <c r="Y132" s="74">
        <v>0.05</v>
      </c>
      <c r="Z132" s="91"/>
      <c r="AA132" s="74">
        <v>0.05</v>
      </c>
      <c r="AB132" s="75" t="s">
        <v>849</v>
      </c>
      <c r="AC132" s="76">
        <v>0.05</v>
      </c>
      <c r="AD132" s="76" t="s">
        <v>824</v>
      </c>
      <c r="AE132" s="76">
        <v>0.02</v>
      </c>
      <c r="AF132" s="75" t="s">
        <v>870</v>
      </c>
      <c r="AG132" s="79">
        <v>0.01</v>
      </c>
      <c r="AH132" s="78">
        <v>1708</v>
      </c>
      <c r="AI132" s="79">
        <v>4.65E-2</v>
      </c>
      <c r="AJ132" s="78">
        <v>5952</v>
      </c>
      <c r="AK132" s="79">
        <v>0</v>
      </c>
      <c r="AL132" s="79">
        <v>0</v>
      </c>
      <c r="AM132" s="80" t="str">
        <f t="shared" si="2"/>
        <v>07.180,010,04650</v>
      </c>
      <c r="AN132" t="str">
        <f t="shared" si="3"/>
        <v>07.180,010,04650</v>
      </c>
    </row>
    <row r="133" spans="2:40" ht="18" customHeight="1">
      <c r="B133" s="71">
        <v>128</v>
      </c>
      <c r="C133" s="81" t="s">
        <v>360</v>
      </c>
      <c r="D133" s="71" t="s">
        <v>1000</v>
      </c>
      <c r="E133" s="82" t="s">
        <v>1001</v>
      </c>
      <c r="F133" s="85" t="s">
        <v>838</v>
      </c>
      <c r="G133" s="74">
        <v>0.05</v>
      </c>
      <c r="H133" s="74" t="s">
        <v>870</v>
      </c>
      <c r="I133" s="74">
        <v>0.05</v>
      </c>
      <c r="J133" s="75" t="s">
        <v>849</v>
      </c>
      <c r="K133" s="74"/>
      <c r="L133" s="74"/>
      <c r="M133" s="91"/>
      <c r="N133" s="91"/>
      <c r="O133" s="91"/>
      <c r="P133" s="91"/>
      <c r="Q133" s="91"/>
      <c r="R133" s="91"/>
      <c r="S133" s="91"/>
      <c r="T133" s="91"/>
      <c r="U133" s="91"/>
      <c r="V133" s="91"/>
      <c r="W133" s="74">
        <v>0.05</v>
      </c>
      <c r="X133" s="75" t="s">
        <v>824</v>
      </c>
      <c r="Y133" s="74">
        <v>0.05</v>
      </c>
      <c r="Z133" s="91"/>
      <c r="AA133" s="74">
        <v>0.05</v>
      </c>
      <c r="AB133" s="75" t="s">
        <v>849</v>
      </c>
      <c r="AC133" s="76">
        <v>0.05</v>
      </c>
      <c r="AD133" s="89" t="s">
        <v>849</v>
      </c>
      <c r="AE133" s="76">
        <v>0.02</v>
      </c>
      <c r="AF133" s="75" t="s">
        <v>870</v>
      </c>
      <c r="AG133" s="79">
        <v>1.4999999999999999E-2</v>
      </c>
      <c r="AH133" s="78">
        <v>1708</v>
      </c>
      <c r="AI133" s="79">
        <v>4.65E-2</v>
      </c>
      <c r="AJ133" s="78">
        <v>5952</v>
      </c>
      <c r="AK133" s="79">
        <v>0</v>
      </c>
      <c r="AL133" s="79">
        <v>0</v>
      </c>
      <c r="AM133" s="80" t="str">
        <f t="shared" si="2"/>
        <v>07.190,0150,04650</v>
      </c>
      <c r="AN133" t="str">
        <f t="shared" si="3"/>
        <v>07.190,0150,04650</v>
      </c>
    </row>
    <row r="134" spans="2:40" ht="18" customHeight="1">
      <c r="B134" s="71">
        <v>129</v>
      </c>
      <c r="C134" s="81" t="s">
        <v>360</v>
      </c>
      <c r="D134" s="71" t="s">
        <v>1002</v>
      </c>
      <c r="E134" s="82" t="s">
        <v>1001</v>
      </c>
      <c r="F134" s="85" t="s">
        <v>1003</v>
      </c>
      <c r="G134" s="74">
        <v>0.05</v>
      </c>
      <c r="H134" s="74" t="s">
        <v>870</v>
      </c>
      <c r="I134" s="74">
        <v>0.05</v>
      </c>
      <c r="J134" s="75" t="s">
        <v>849</v>
      </c>
      <c r="K134" s="74"/>
      <c r="L134" s="74"/>
      <c r="M134" s="74"/>
      <c r="N134" s="74"/>
      <c r="O134" s="74"/>
      <c r="P134" s="74"/>
      <c r="Q134" s="74"/>
      <c r="R134" s="74"/>
      <c r="S134" s="74"/>
      <c r="T134" s="74"/>
      <c r="U134" s="74"/>
      <c r="V134" s="74"/>
      <c r="W134" s="74">
        <v>0.05</v>
      </c>
      <c r="X134" s="75" t="s">
        <v>824</v>
      </c>
      <c r="Y134" s="74">
        <v>0.05</v>
      </c>
      <c r="Z134" s="74"/>
      <c r="AA134" s="74">
        <v>0.05</v>
      </c>
      <c r="AB134" s="75" t="s">
        <v>849</v>
      </c>
      <c r="AC134" s="76">
        <v>0.05</v>
      </c>
      <c r="AD134" s="89" t="s">
        <v>849</v>
      </c>
      <c r="AE134" s="76">
        <v>0.02</v>
      </c>
      <c r="AF134" s="75" t="s">
        <v>870</v>
      </c>
      <c r="AG134" s="79">
        <v>0</v>
      </c>
      <c r="AH134" s="78">
        <v>0</v>
      </c>
      <c r="AI134" s="79">
        <v>0</v>
      </c>
      <c r="AJ134" s="78">
        <v>0</v>
      </c>
      <c r="AK134" s="79">
        <v>0</v>
      </c>
      <c r="AL134" s="79">
        <v>0</v>
      </c>
      <c r="AM134" s="80" t="str">
        <f t="shared" ref="AM134:AM197" si="4">C134&amp;AG134&amp;AI134&amp;AK134</f>
        <v>07.19000</v>
      </c>
      <c r="AN134" t="str">
        <f t="shared" ref="AN134:AN197" si="5">C134&amp;AG134&amp;AI134&amp;AL134</f>
        <v>07.19000</v>
      </c>
    </row>
    <row r="135" spans="2:40" ht="18" customHeight="1">
      <c r="B135" s="71">
        <v>130</v>
      </c>
      <c r="C135" s="81" t="s">
        <v>363</v>
      </c>
      <c r="D135" s="71" t="s">
        <v>1004</v>
      </c>
      <c r="E135" s="82" t="s">
        <v>1005</v>
      </c>
      <c r="F135" s="85" t="s">
        <v>838</v>
      </c>
      <c r="G135" s="74">
        <v>0.05</v>
      </c>
      <c r="H135" s="74" t="s">
        <v>824</v>
      </c>
      <c r="I135" s="74">
        <v>0.02</v>
      </c>
      <c r="J135" s="75" t="s">
        <v>824</v>
      </c>
      <c r="K135" s="75"/>
      <c r="L135" s="75"/>
      <c r="M135" s="75"/>
      <c r="N135" s="75"/>
      <c r="O135" s="75"/>
      <c r="P135" s="75"/>
      <c r="Q135" s="75"/>
      <c r="R135" s="75"/>
      <c r="S135" s="75"/>
      <c r="T135" s="75"/>
      <c r="U135" s="75"/>
      <c r="V135" s="75"/>
      <c r="W135" s="74">
        <v>0.05</v>
      </c>
      <c r="X135" s="75" t="s">
        <v>824</v>
      </c>
      <c r="Y135" s="74">
        <v>0.05</v>
      </c>
      <c r="Z135" s="75"/>
      <c r="AA135" s="74">
        <v>0.05</v>
      </c>
      <c r="AB135" s="75" t="s">
        <v>824</v>
      </c>
      <c r="AC135" s="76">
        <v>0.05</v>
      </c>
      <c r="AD135" s="76" t="s">
        <v>824</v>
      </c>
      <c r="AE135" s="76">
        <v>0.02</v>
      </c>
      <c r="AF135" s="75" t="s">
        <v>824</v>
      </c>
      <c r="AG135" s="79">
        <v>1.4999999999999999E-2</v>
      </c>
      <c r="AH135" s="78">
        <v>1708</v>
      </c>
      <c r="AI135" s="79">
        <v>4.65E-2</v>
      </c>
      <c r="AJ135" s="78">
        <v>5952</v>
      </c>
      <c r="AK135" s="79">
        <v>0</v>
      </c>
      <c r="AL135" s="79">
        <v>0</v>
      </c>
      <c r="AM135" s="80" t="str">
        <f t="shared" si="4"/>
        <v>07.200,0150,04650</v>
      </c>
      <c r="AN135" t="str">
        <f t="shared" si="5"/>
        <v>07.200,0150,04650</v>
      </c>
    </row>
    <row r="136" spans="2:40" ht="18" customHeight="1">
      <c r="B136" s="71">
        <v>131</v>
      </c>
      <c r="C136" s="81" t="s">
        <v>366</v>
      </c>
      <c r="D136" s="71" t="s">
        <v>1006</v>
      </c>
      <c r="E136" s="82" t="s">
        <v>1007</v>
      </c>
      <c r="F136" s="85" t="s">
        <v>838</v>
      </c>
      <c r="G136" s="74">
        <v>0.05</v>
      </c>
      <c r="H136" s="74" t="s">
        <v>824</v>
      </c>
      <c r="I136" s="74">
        <v>0.05</v>
      </c>
      <c r="J136" s="75" t="s">
        <v>824</v>
      </c>
      <c r="K136" s="75"/>
      <c r="L136" s="75"/>
      <c r="M136" s="75"/>
      <c r="N136" s="75"/>
      <c r="O136" s="75"/>
      <c r="P136" s="75"/>
      <c r="Q136" s="75"/>
      <c r="R136" s="75"/>
      <c r="S136" s="75"/>
      <c r="T136" s="75"/>
      <c r="U136" s="75"/>
      <c r="V136" s="75"/>
      <c r="W136" s="74">
        <v>0.05</v>
      </c>
      <c r="X136" s="75" t="s">
        <v>824</v>
      </c>
      <c r="Y136" s="74">
        <v>0.05</v>
      </c>
      <c r="Z136" s="75"/>
      <c r="AA136" s="74">
        <v>0.05</v>
      </c>
      <c r="AB136" s="75" t="s">
        <v>824</v>
      </c>
      <c r="AC136" s="76">
        <v>0.05</v>
      </c>
      <c r="AD136" s="76" t="s">
        <v>824</v>
      </c>
      <c r="AE136" s="76">
        <v>0.02</v>
      </c>
      <c r="AF136" s="75" t="s">
        <v>824</v>
      </c>
      <c r="AG136" s="79">
        <v>1.4999999999999999E-2</v>
      </c>
      <c r="AH136" s="78">
        <v>1708</v>
      </c>
      <c r="AI136" s="79">
        <v>4.65E-2</v>
      </c>
      <c r="AJ136" s="78">
        <v>5952</v>
      </c>
      <c r="AK136" s="79">
        <v>0</v>
      </c>
      <c r="AL136" s="79">
        <v>0</v>
      </c>
      <c r="AM136" s="80" t="str">
        <f t="shared" si="4"/>
        <v>07.210,0150,04650</v>
      </c>
      <c r="AN136" t="str">
        <f t="shared" si="5"/>
        <v>07.210,0150,04650</v>
      </c>
    </row>
    <row r="137" spans="2:40" ht="18" customHeight="1">
      <c r="B137" s="71">
        <v>132</v>
      </c>
      <c r="C137" s="81" t="s">
        <v>366</v>
      </c>
      <c r="D137" s="71" t="s">
        <v>1008</v>
      </c>
      <c r="E137" s="82" t="s">
        <v>1007</v>
      </c>
      <c r="F137" s="85" t="s">
        <v>1003</v>
      </c>
      <c r="G137" s="74">
        <v>0.05</v>
      </c>
      <c r="H137" s="74" t="s">
        <v>824</v>
      </c>
      <c r="I137" s="74">
        <v>0.05</v>
      </c>
      <c r="J137" s="75" t="s">
        <v>824</v>
      </c>
      <c r="K137" s="75"/>
      <c r="L137" s="75"/>
      <c r="M137" s="75"/>
      <c r="N137" s="75"/>
      <c r="O137" s="75"/>
      <c r="P137" s="75"/>
      <c r="Q137" s="75"/>
      <c r="R137" s="75"/>
      <c r="S137" s="75"/>
      <c r="T137" s="75"/>
      <c r="U137" s="75"/>
      <c r="V137" s="75"/>
      <c r="W137" s="74">
        <v>0.05</v>
      </c>
      <c r="X137" s="75" t="s">
        <v>824</v>
      </c>
      <c r="Y137" s="74">
        <v>0.05</v>
      </c>
      <c r="Z137" s="75"/>
      <c r="AA137" s="74">
        <v>0.05</v>
      </c>
      <c r="AB137" s="75" t="s">
        <v>824</v>
      </c>
      <c r="AC137" s="76">
        <v>0.05</v>
      </c>
      <c r="AD137" s="76" t="s">
        <v>824</v>
      </c>
      <c r="AE137" s="76">
        <v>0.02</v>
      </c>
      <c r="AF137" s="75" t="s">
        <v>824</v>
      </c>
      <c r="AG137" s="79">
        <v>0</v>
      </c>
      <c r="AH137" s="78">
        <v>0</v>
      </c>
      <c r="AI137" s="79">
        <v>0</v>
      </c>
      <c r="AJ137" s="78">
        <v>0</v>
      </c>
      <c r="AK137" s="79">
        <v>0</v>
      </c>
      <c r="AL137" s="79">
        <v>0</v>
      </c>
      <c r="AM137" s="80" t="str">
        <f t="shared" si="4"/>
        <v>07.21000</v>
      </c>
      <c r="AN137" t="str">
        <f t="shared" si="5"/>
        <v>07.21000</v>
      </c>
    </row>
    <row r="138" spans="2:40" ht="18" customHeight="1">
      <c r="B138" s="71">
        <v>133</v>
      </c>
      <c r="C138" s="81" t="s">
        <v>369</v>
      </c>
      <c r="D138" s="71" t="s">
        <v>1009</v>
      </c>
      <c r="E138" s="82" t="s">
        <v>1010</v>
      </c>
      <c r="F138" s="85" t="s">
        <v>838</v>
      </c>
      <c r="G138" s="74">
        <v>0.05</v>
      </c>
      <c r="H138" s="74" t="s">
        <v>824</v>
      </c>
      <c r="I138" s="74">
        <v>0.05</v>
      </c>
      <c r="J138" s="75" t="s">
        <v>824</v>
      </c>
      <c r="K138" s="75"/>
      <c r="L138" s="75"/>
      <c r="M138" s="75"/>
      <c r="N138" s="75"/>
      <c r="O138" s="75"/>
      <c r="P138" s="75"/>
      <c r="Q138" s="75"/>
      <c r="R138" s="75"/>
      <c r="S138" s="75"/>
      <c r="T138" s="75"/>
      <c r="U138" s="75"/>
      <c r="V138" s="75"/>
      <c r="W138" s="74">
        <v>0.05</v>
      </c>
      <c r="X138" s="75" t="s">
        <v>824</v>
      </c>
      <c r="Y138" s="74">
        <v>0.05</v>
      </c>
      <c r="Z138" s="75"/>
      <c r="AA138" s="74">
        <v>0.05</v>
      </c>
      <c r="AB138" s="75" t="s">
        <v>824</v>
      </c>
      <c r="AC138" s="76">
        <v>0.05</v>
      </c>
      <c r="AD138" s="76" t="s">
        <v>824</v>
      </c>
      <c r="AE138" s="76">
        <v>0.02</v>
      </c>
      <c r="AF138" s="75" t="s">
        <v>824</v>
      </c>
      <c r="AG138" s="79">
        <v>1.4999999999999999E-2</v>
      </c>
      <c r="AH138" s="78">
        <v>1708</v>
      </c>
      <c r="AI138" s="79">
        <v>4.65E-2</v>
      </c>
      <c r="AJ138" s="78">
        <v>5952</v>
      </c>
      <c r="AK138" s="79">
        <v>0</v>
      </c>
      <c r="AL138" s="79">
        <v>0</v>
      </c>
      <c r="AM138" s="80" t="str">
        <f t="shared" si="4"/>
        <v>07.220,0150,04650</v>
      </c>
      <c r="AN138" t="str">
        <f t="shared" si="5"/>
        <v>07.220,0150,04650</v>
      </c>
    </row>
    <row r="139" spans="2:40" ht="18" customHeight="1">
      <c r="B139" s="71">
        <v>134</v>
      </c>
      <c r="C139" s="81" t="s">
        <v>369</v>
      </c>
      <c r="D139" s="71" t="s">
        <v>1011</v>
      </c>
      <c r="E139" s="82" t="s">
        <v>1010</v>
      </c>
      <c r="F139" s="85" t="s">
        <v>1003</v>
      </c>
      <c r="G139" s="74">
        <v>0.05</v>
      </c>
      <c r="H139" s="74" t="s">
        <v>824</v>
      </c>
      <c r="I139" s="74">
        <v>0.05</v>
      </c>
      <c r="J139" s="75" t="s">
        <v>824</v>
      </c>
      <c r="K139" s="75"/>
      <c r="L139" s="75"/>
      <c r="M139" s="75"/>
      <c r="N139" s="75"/>
      <c r="O139" s="75"/>
      <c r="P139" s="75"/>
      <c r="Q139" s="75"/>
      <c r="R139" s="75"/>
      <c r="S139" s="75"/>
      <c r="T139" s="75"/>
      <c r="U139" s="75"/>
      <c r="V139" s="75"/>
      <c r="W139" s="74">
        <v>0.05</v>
      </c>
      <c r="X139" s="75" t="s">
        <v>824</v>
      </c>
      <c r="Y139" s="74">
        <v>0.05</v>
      </c>
      <c r="Z139" s="75"/>
      <c r="AA139" s="74">
        <v>0.05</v>
      </c>
      <c r="AB139" s="75" t="s">
        <v>824</v>
      </c>
      <c r="AC139" s="76">
        <v>0.05</v>
      </c>
      <c r="AD139" s="76" t="s">
        <v>824</v>
      </c>
      <c r="AE139" s="76">
        <v>0.02</v>
      </c>
      <c r="AF139" s="75" t="s">
        <v>824</v>
      </c>
      <c r="AG139" s="79">
        <v>0</v>
      </c>
      <c r="AH139" s="78">
        <v>0</v>
      </c>
      <c r="AI139" s="79">
        <v>0</v>
      </c>
      <c r="AJ139" s="78">
        <v>0</v>
      </c>
      <c r="AK139" s="79">
        <v>0</v>
      </c>
      <c r="AL139" s="79">
        <v>0</v>
      </c>
      <c r="AM139" s="80" t="str">
        <f t="shared" si="4"/>
        <v>07.22000</v>
      </c>
      <c r="AN139" t="str">
        <f t="shared" si="5"/>
        <v>07.22000</v>
      </c>
    </row>
    <row r="140" spans="2:40" ht="18" customHeight="1">
      <c r="B140" s="71">
        <v>135</v>
      </c>
      <c r="C140" s="81" t="s">
        <v>372</v>
      </c>
      <c r="D140" s="71" t="s">
        <v>1012</v>
      </c>
      <c r="E140" s="82" t="s">
        <v>1013</v>
      </c>
      <c r="F140" s="85" t="s">
        <v>838</v>
      </c>
      <c r="G140" s="74">
        <v>0.02</v>
      </c>
      <c r="H140" s="74" t="s">
        <v>824</v>
      </c>
      <c r="I140" s="74">
        <v>0.02</v>
      </c>
      <c r="J140" s="75" t="s">
        <v>824</v>
      </c>
      <c r="K140" s="79"/>
      <c r="L140" s="79"/>
      <c r="M140" s="78"/>
      <c r="N140" s="78"/>
      <c r="O140" s="86" t="s">
        <v>825</v>
      </c>
      <c r="P140" s="86"/>
      <c r="Q140" s="79" t="s">
        <v>825</v>
      </c>
      <c r="R140" s="87"/>
      <c r="S140" s="80"/>
      <c r="T140" s="80"/>
      <c r="U140"/>
      <c r="W140" s="74">
        <v>0.05</v>
      </c>
      <c r="X140" s="75" t="s">
        <v>824</v>
      </c>
      <c r="Y140" s="74">
        <v>0.05</v>
      </c>
      <c r="AA140" s="74">
        <v>0.02</v>
      </c>
      <c r="AB140" s="75" t="s">
        <v>824</v>
      </c>
      <c r="AC140" s="76">
        <v>0.02</v>
      </c>
      <c r="AD140" s="76" t="s">
        <v>824</v>
      </c>
      <c r="AE140" s="76">
        <v>0.02</v>
      </c>
      <c r="AF140" s="75" t="s">
        <v>824</v>
      </c>
      <c r="AG140" s="79">
        <v>1.4999999999999999E-2</v>
      </c>
      <c r="AH140" s="78">
        <v>1708</v>
      </c>
      <c r="AI140" s="79">
        <v>4.65E-2</v>
      </c>
      <c r="AJ140" s="78">
        <v>5952</v>
      </c>
      <c r="AK140" s="79">
        <v>0</v>
      </c>
      <c r="AL140" s="79">
        <v>0</v>
      </c>
      <c r="AM140" s="80" t="str">
        <f t="shared" si="4"/>
        <v>08.010,0150,04650</v>
      </c>
      <c r="AN140" t="str">
        <f t="shared" si="5"/>
        <v>08.010,0150,04650</v>
      </c>
    </row>
    <row r="141" spans="2:40" ht="18" customHeight="1">
      <c r="B141" s="71">
        <v>136</v>
      </c>
      <c r="C141" s="81" t="s">
        <v>372</v>
      </c>
      <c r="D141" s="71" t="s">
        <v>1014</v>
      </c>
      <c r="E141" s="82" t="s">
        <v>1013</v>
      </c>
      <c r="F141" s="85" t="s">
        <v>840</v>
      </c>
      <c r="G141" s="74">
        <v>0.02</v>
      </c>
      <c r="H141" s="74" t="s">
        <v>824</v>
      </c>
      <c r="I141" s="74">
        <v>0.02</v>
      </c>
      <c r="J141" s="75" t="s">
        <v>824</v>
      </c>
      <c r="K141" s="75"/>
      <c r="L141" s="75"/>
      <c r="M141" s="75"/>
      <c r="N141" s="75"/>
      <c r="O141" s="75"/>
      <c r="P141" s="75"/>
      <c r="Q141" s="75"/>
      <c r="R141" s="75"/>
      <c r="S141" s="75"/>
      <c r="T141" s="75"/>
      <c r="U141" s="75"/>
      <c r="V141" s="75"/>
      <c r="W141" s="74">
        <v>0.05</v>
      </c>
      <c r="X141" s="75" t="s">
        <v>824</v>
      </c>
      <c r="Y141" s="74">
        <v>0.05</v>
      </c>
      <c r="Z141" s="75"/>
      <c r="AA141" s="74">
        <v>0.02</v>
      </c>
      <c r="AB141" s="75" t="s">
        <v>824</v>
      </c>
      <c r="AC141" s="76">
        <v>0.02</v>
      </c>
      <c r="AD141" s="76" t="s">
        <v>824</v>
      </c>
      <c r="AE141" s="76">
        <v>0.02</v>
      </c>
      <c r="AF141" s="75" t="s">
        <v>824</v>
      </c>
      <c r="AG141" s="79">
        <v>1.4999999999999999E-2</v>
      </c>
      <c r="AH141" s="78">
        <v>1708</v>
      </c>
      <c r="AI141" s="79">
        <v>4.65E-2</v>
      </c>
      <c r="AJ141" s="78">
        <v>5952</v>
      </c>
      <c r="AK141" s="79">
        <v>0.11</v>
      </c>
      <c r="AL141" s="79">
        <v>3.5000000000000003E-2</v>
      </c>
      <c r="AM141" s="80" t="str">
        <f t="shared" si="4"/>
        <v>08.010,0150,04650,11</v>
      </c>
      <c r="AN141" t="str">
        <f t="shared" si="5"/>
        <v>08.010,0150,04650,035</v>
      </c>
    </row>
    <row r="142" spans="2:40" ht="18" customHeight="1">
      <c r="B142" s="71">
        <v>137</v>
      </c>
      <c r="C142" s="81" t="s">
        <v>375</v>
      </c>
      <c r="D142" s="71" t="s">
        <v>1015</v>
      </c>
      <c r="E142" s="82" t="s">
        <v>1016</v>
      </c>
      <c r="F142" s="85" t="s">
        <v>838</v>
      </c>
      <c r="G142" s="74">
        <v>0.05</v>
      </c>
      <c r="H142" s="74" t="s">
        <v>824</v>
      </c>
      <c r="I142" s="74">
        <v>0.02</v>
      </c>
      <c r="J142" s="75" t="s">
        <v>824</v>
      </c>
      <c r="K142" s="75"/>
      <c r="L142" s="75"/>
      <c r="M142" s="75"/>
      <c r="N142" s="75"/>
      <c r="O142" s="75"/>
      <c r="P142" s="75"/>
      <c r="Q142" s="75"/>
      <c r="R142" s="75"/>
      <c r="S142" s="75"/>
      <c r="T142" s="75"/>
      <c r="U142" s="75"/>
      <c r="V142" s="75"/>
      <c r="W142" s="74">
        <v>3.5000000000000003E-2</v>
      </c>
      <c r="X142" s="75" t="s">
        <v>849</v>
      </c>
      <c r="Y142" s="74">
        <v>0.05</v>
      </c>
      <c r="Z142" s="75"/>
      <c r="AA142" s="74">
        <v>0.05</v>
      </c>
      <c r="AB142" s="75" t="s">
        <v>824</v>
      </c>
      <c r="AC142" s="76">
        <v>0.05</v>
      </c>
      <c r="AD142" s="76" t="s">
        <v>824</v>
      </c>
      <c r="AE142" s="76">
        <v>0.02</v>
      </c>
      <c r="AF142" s="75" t="s">
        <v>824</v>
      </c>
      <c r="AG142" s="79">
        <v>1.4999999999999999E-2</v>
      </c>
      <c r="AH142" s="78">
        <v>1708</v>
      </c>
      <c r="AI142" s="79">
        <v>4.65E-2</v>
      </c>
      <c r="AJ142" s="78">
        <v>5952</v>
      </c>
      <c r="AK142" s="79">
        <v>0</v>
      </c>
      <c r="AL142" s="79">
        <v>0</v>
      </c>
      <c r="AM142" s="80" t="str">
        <f t="shared" si="4"/>
        <v>08.020,0150,04650</v>
      </c>
      <c r="AN142" t="str">
        <f t="shared" si="5"/>
        <v>08.020,0150,04650</v>
      </c>
    </row>
    <row r="143" spans="2:40" ht="18" customHeight="1">
      <c r="B143" s="71">
        <v>138</v>
      </c>
      <c r="C143" s="81" t="s">
        <v>375</v>
      </c>
      <c r="D143" s="71" t="s">
        <v>1017</v>
      </c>
      <c r="E143" s="82" t="s">
        <v>1016</v>
      </c>
      <c r="F143" s="85" t="s">
        <v>840</v>
      </c>
      <c r="G143" s="74">
        <v>0.05</v>
      </c>
      <c r="H143" s="74" t="s">
        <v>824</v>
      </c>
      <c r="I143" s="74">
        <v>0.02</v>
      </c>
      <c r="J143" s="75" t="s">
        <v>824</v>
      </c>
      <c r="K143" s="75"/>
      <c r="L143" s="75"/>
      <c r="M143" s="75"/>
      <c r="N143" s="75"/>
      <c r="O143" s="75"/>
      <c r="P143" s="75"/>
      <c r="Q143" s="75"/>
      <c r="R143" s="75"/>
      <c r="S143" s="75"/>
      <c r="T143" s="75"/>
      <c r="U143" s="75"/>
      <c r="V143" s="75"/>
      <c r="W143" s="74">
        <v>3.5000000000000003E-2</v>
      </c>
      <c r="X143" s="75" t="s">
        <v>849</v>
      </c>
      <c r="Y143" s="74">
        <v>0.05</v>
      </c>
      <c r="Z143" s="75"/>
      <c r="AA143" s="74">
        <v>0.05</v>
      </c>
      <c r="AB143" s="75" t="s">
        <v>824</v>
      </c>
      <c r="AC143" s="76">
        <v>0.05</v>
      </c>
      <c r="AD143" s="76" t="s">
        <v>824</v>
      </c>
      <c r="AE143" s="76">
        <v>0.02</v>
      </c>
      <c r="AF143" s="75" t="s">
        <v>824</v>
      </c>
      <c r="AG143" s="79">
        <v>1.4999999999999999E-2</v>
      </c>
      <c r="AH143" s="78">
        <v>1708</v>
      </c>
      <c r="AI143" s="79">
        <v>4.65E-2</v>
      </c>
      <c r="AJ143" s="78">
        <v>5952</v>
      </c>
      <c r="AK143" s="79">
        <v>0.11</v>
      </c>
      <c r="AL143" s="79">
        <v>3.5000000000000003E-2</v>
      </c>
      <c r="AM143" s="80" t="str">
        <f t="shared" si="4"/>
        <v>08.020,0150,04650,11</v>
      </c>
      <c r="AN143" t="str">
        <f t="shared" si="5"/>
        <v>08.020,0150,04650,035</v>
      </c>
    </row>
    <row r="144" spans="2:40" ht="18" customHeight="1">
      <c r="B144" s="71">
        <v>139</v>
      </c>
      <c r="C144" s="81" t="s">
        <v>378</v>
      </c>
      <c r="D144" s="71" t="s">
        <v>1018</v>
      </c>
      <c r="E144" s="82" t="s">
        <v>1019</v>
      </c>
      <c r="F144" s="85" t="s">
        <v>838</v>
      </c>
      <c r="G144" s="74">
        <v>0.05</v>
      </c>
      <c r="H144" s="74" t="s">
        <v>824</v>
      </c>
      <c r="I144" s="74">
        <v>0.05</v>
      </c>
      <c r="J144" s="75" t="s">
        <v>824</v>
      </c>
      <c r="K144" s="75"/>
      <c r="L144" s="75"/>
      <c r="M144" s="75"/>
      <c r="N144" s="75"/>
      <c r="O144" s="75"/>
      <c r="P144" s="75"/>
      <c r="Q144" s="75"/>
      <c r="R144" s="75"/>
      <c r="S144" s="75"/>
      <c r="T144" s="75"/>
      <c r="U144" s="75"/>
      <c r="V144" s="75"/>
      <c r="W144" s="74">
        <v>0.05</v>
      </c>
      <c r="X144" s="75" t="s">
        <v>824</v>
      </c>
      <c r="Y144" s="74">
        <v>0.05</v>
      </c>
      <c r="Z144" s="75"/>
      <c r="AA144" s="74">
        <v>0.05</v>
      </c>
      <c r="AB144" s="75" t="s">
        <v>824</v>
      </c>
      <c r="AC144" s="76">
        <v>0.05</v>
      </c>
      <c r="AD144" s="76" t="s">
        <v>824</v>
      </c>
      <c r="AE144" s="76">
        <v>0.02</v>
      </c>
      <c r="AF144" s="75" t="s">
        <v>824</v>
      </c>
      <c r="AG144" s="79">
        <v>0</v>
      </c>
      <c r="AH144" s="78">
        <v>0</v>
      </c>
      <c r="AI144" s="79">
        <v>0</v>
      </c>
      <c r="AJ144" s="78">
        <v>0</v>
      </c>
      <c r="AK144" s="79">
        <v>0</v>
      </c>
      <c r="AL144" s="79">
        <v>0</v>
      </c>
      <c r="AM144" s="80" t="str">
        <f t="shared" si="4"/>
        <v>09.01000</v>
      </c>
      <c r="AN144" t="str">
        <f t="shared" si="5"/>
        <v>09.01000</v>
      </c>
    </row>
    <row r="145" spans="2:40" ht="18" customHeight="1">
      <c r="B145" s="71">
        <v>140</v>
      </c>
      <c r="C145" s="81" t="s">
        <v>381</v>
      </c>
      <c r="D145" s="71" t="s">
        <v>1020</v>
      </c>
      <c r="E145" s="82" t="s">
        <v>1021</v>
      </c>
      <c r="F145" s="85" t="s">
        <v>838</v>
      </c>
      <c r="G145" s="74">
        <v>0.05</v>
      </c>
      <c r="H145" s="74" t="s">
        <v>824</v>
      </c>
      <c r="I145" s="74">
        <v>0.05</v>
      </c>
      <c r="J145" s="75" t="s">
        <v>824</v>
      </c>
      <c r="K145" s="75"/>
      <c r="L145" s="75"/>
      <c r="M145" s="75"/>
      <c r="N145" s="75"/>
      <c r="O145" s="75"/>
      <c r="P145" s="75"/>
      <c r="Q145" s="75"/>
      <c r="R145" s="75"/>
      <c r="S145" s="75"/>
      <c r="T145" s="75"/>
      <c r="U145" s="75"/>
      <c r="V145" s="75"/>
      <c r="W145" s="74">
        <v>0.05</v>
      </c>
      <c r="X145" s="75" t="s">
        <v>824</v>
      </c>
      <c r="Y145" s="74">
        <v>0.05</v>
      </c>
      <c r="Z145" s="75"/>
      <c r="AA145" s="74">
        <v>0.05</v>
      </c>
      <c r="AB145" s="75" t="s">
        <v>824</v>
      </c>
      <c r="AC145" s="76">
        <v>0.05</v>
      </c>
      <c r="AD145" s="76" t="s">
        <v>824</v>
      </c>
      <c r="AE145" s="76">
        <v>0.02</v>
      </c>
      <c r="AF145" s="75" t="s">
        <v>824</v>
      </c>
      <c r="AG145" s="79">
        <v>1.4999999999999999E-2</v>
      </c>
      <c r="AH145" s="78">
        <v>1708</v>
      </c>
      <c r="AI145" s="79">
        <v>0</v>
      </c>
      <c r="AJ145" s="78">
        <v>0</v>
      </c>
      <c r="AK145" s="79">
        <v>0</v>
      </c>
      <c r="AL145" s="79">
        <v>0</v>
      </c>
      <c r="AM145" s="80" t="str">
        <f t="shared" si="4"/>
        <v>09.020,01500</v>
      </c>
      <c r="AN145" t="str">
        <f t="shared" si="5"/>
        <v>09.020,01500</v>
      </c>
    </row>
    <row r="146" spans="2:40" ht="18" customHeight="1">
      <c r="B146" s="71">
        <v>141</v>
      </c>
      <c r="C146" s="81" t="s">
        <v>384</v>
      </c>
      <c r="D146" s="71" t="s">
        <v>1022</v>
      </c>
      <c r="E146" s="82" t="s">
        <v>1023</v>
      </c>
      <c r="F146" s="85" t="s">
        <v>838</v>
      </c>
      <c r="G146" s="74">
        <v>0.05</v>
      </c>
      <c r="H146" s="74" t="s">
        <v>824</v>
      </c>
      <c r="I146" s="74">
        <v>0.05</v>
      </c>
      <c r="J146" s="75" t="s">
        <v>824</v>
      </c>
      <c r="K146" s="75"/>
      <c r="L146" s="75"/>
      <c r="M146" s="75"/>
      <c r="N146" s="75"/>
      <c r="O146" s="75"/>
      <c r="P146" s="75"/>
      <c r="Q146" s="75"/>
      <c r="R146" s="75"/>
      <c r="S146" s="75"/>
      <c r="T146" s="75"/>
      <c r="U146" s="75"/>
      <c r="V146" s="75"/>
      <c r="W146" s="74">
        <v>0.05</v>
      </c>
      <c r="X146" s="75" t="s">
        <v>824</v>
      </c>
      <c r="Y146" s="74">
        <v>0.05</v>
      </c>
      <c r="Z146" s="75"/>
      <c r="AA146" s="74">
        <v>0.05</v>
      </c>
      <c r="AB146" s="75" t="s">
        <v>824</v>
      </c>
      <c r="AC146" s="76">
        <v>0.05</v>
      </c>
      <c r="AD146" s="76" t="s">
        <v>824</v>
      </c>
      <c r="AE146" s="76">
        <v>0.02</v>
      </c>
      <c r="AF146" s="75" t="s">
        <v>824</v>
      </c>
      <c r="AG146" s="79">
        <v>0</v>
      </c>
      <c r="AH146" s="78">
        <v>0</v>
      </c>
      <c r="AI146" s="79">
        <v>0</v>
      </c>
      <c r="AJ146" s="78">
        <v>0</v>
      </c>
      <c r="AK146" s="79">
        <v>0</v>
      </c>
      <c r="AL146" s="79">
        <v>0</v>
      </c>
      <c r="AM146" s="80" t="str">
        <f t="shared" si="4"/>
        <v>09.03000</v>
      </c>
      <c r="AN146" t="str">
        <f t="shared" si="5"/>
        <v>09.03000</v>
      </c>
    </row>
    <row r="147" spans="2:40" ht="18" customHeight="1">
      <c r="B147" s="71">
        <v>142</v>
      </c>
      <c r="C147" s="81" t="s">
        <v>387</v>
      </c>
      <c r="D147" s="71" t="s">
        <v>1024</v>
      </c>
      <c r="E147" s="82" t="s">
        <v>1025</v>
      </c>
      <c r="F147" s="85" t="s">
        <v>838</v>
      </c>
      <c r="G147" s="74">
        <v>0.05</v>
      </c>
      <c r="H147" s="74" t="s">
        <v>824</v>
      </c>
      <c r="I147" s="74">
        <v>0.02</v>
      </c>
      <c r="J147" s="75" t="s">
        <v>824</v>
      </c>
      <c r="K147" s="75"/>
      <c r="L147" s="75"/>
      <c r="M147" s="75"/>
      <c r="N147" s="75"/>
      <c r="O147" s="75"/>
      <c r="P147" s="75"/>
      <c r="Q147" s="75"/>
      <c r="R147" s="75"/>
      <c r="S147" s="75"/>
      <c r="T147" s="75"/>
      <c r="U147" s="75"/>
      <c r="V147" s="75"/>
      <c r="W147" s="74">
        <v>0.05</v>
      </c>
      <c r="X147" s="75" t="s">
        <v>824</v>
      </c>
      <c r="Y147" s="74">
        <v>0.05</v>
      </c>
      <c r="Z147" s="75"/>
      <c r="AA147" s="74">
        <v>0.05</v>
      </c>
      <c r="AB147" s="75" t="s">
        <v>824</v>
      </c>
      <c r="AC147" s="76">
        <v>0.02</v>
      </c>
      <c r="AD147" s="76" t="s">
        <v>824</v>
      </c>
      <c r="AE147" s="76">
        <v>0.05</v>
      </c>
      <c r="AF147" s="75" t="s">
        <v>824</v>
      </c>
      <c r="AG147" s="79">
        <v>1.4999999999999999E-2</v>
      </c>
      <c r="AH147" s="78">
        <v>8045</v>
      </c>
      <c r="AI147" s="79">
        <v>0</v>
      </c>
      <c r="AJ147" s="78">
        <v>0</v>
      </c>
      <c r="AK147" s="79">
        <v>0</v>
      </c>
      <c r="AL147" s="79">
        <v>0</v>
      </c>
      <c r="AM147" s="80" t="str">
        <f t="shared" si="4"/>
        <v>10.010,01500</v>
      </c>
      <c r="AN147" t="str">
        <f t="shared" si="5"/>
        <v>10.010,01500</v>
      </c>
    </row>
    <row r="148" spans="2:40" ht="18" customHeight="1">
      <c r="B148" s="71">
        <v>143</v>
      </c>
      <c r="C148" s="81" t="s">
        <v>390</v>
      </c>
      <c r="D148" s="71" t="s">
        <v>1026</v>
      </c>
      <c r="E148" s="82" t="s">
        <v>1027</v>
      </c>
      <c r="F148" s="85" t="s">
        <v>838</v>
      </c>
      <c r="G148" s="74">
        <v>0.05</v>
      </c>
      <c r="H148" s="74" t="s">
        <v>824</v>
      </c>
      <c r="I148" s="74">
        <v>0.05</v>
      </c>
      <c r="J148" s="75" t="s">
        <v>824</v>
      </c>
      <c r="K148" s="75"/>
      <c r="L148" s="75"/>
      <c r="M148" s="75"/>
      <c r="N148" s="75"/>
      <c r="O148" s="75"/>
      <c r="P148" s="75"/>
      <c r="Q148" s="75"/>
      <c r="R148" s="75"/>
      <c r="S148" s="75"/>
      <c r="T148" s="75"/>
      <c r="U148" s="75"/>
      <c r="V148" s="75"/>
      <c r="W148" s="74">
        <v>0.05</v>
      </c>
      <c r="X148" s="75" t="s">
        <v>824</v>
      </c>
      <c r="Y148" s="74">
        <v>0.05</v>
      </c>
      <c r="Z148" s="75"/>
      <c r="AA148" s="74">
        <v>0.05</v>
      </c>
      <c r="AB148" s="75" t="s">
        <v>824</v>
      </c>
      <c r="AC148" s="76">
        <v>0.02</v>
      </c>
      <c r="AD148" s="76" t="s">
        <v>824</v>
      </c>
      <c r="AE148" s="76">
        <v>0.05</v>
      </c>
      <c r="AF148" s="75" t="s">
        <v>824</v>
      </c>
      <c r="AG148" s="79">
        <v>1.4999999999999999E-2</v>
      </c>
      <c r="AH148" s="78">
        <v>8045</v>
      </c>
      <c r="AI148" s="79">
        <v>0</v>
      </c>
      <c r="AJ148" s="78">
        <v>0</v>
      </c>
      <c r="AK148" s="79">
        <v>0</v>
      </c>
      <c r="AL148" s="79">
        <v>0</v>
      </c>
      <c r="AM148" s="80" t="str">
        <f t="shared" si="4"/>
        <v>10.020,01500</v>
      </c>
      <c r="AN148" t="str">
        <f t="shared" si="5"/>
        <v>10.020,01500</v>
      </c>
    </row>
    <row r="149" spans="2:40" ht="18" customHeight="1">
      <c r="B149" s="71">
        <v>144</v>
      </c>
      <c r="C149" s="81" t="s">
        <v>390</v>
      </c>
      <c r="D149" s="71" t="s">
        <v>1028</v>
      </c>
      <c r="E149" s="82" t="s">
        <v>1027</v>
      </c>
      <c r="F149" s="85" t="s">
        <v>1029</v>
      </c>
      <c r="G149" s="74">
        <v>0.05</v>
      </c>
      <c r="H149" s="74" t="s">
        <v>824</v>
      </c>
      <c r="I149" s="74">
        <v>0.05</v>
      </c>
      <c r="J149" s="75" t="s">
        <v>824</v>
      </c>
      <c r="K149" s="75"/>
      <c r="L149" s="75"/>
      <c r="M149" s="75"/>
      <c r="N149" s="75"/>
      <c r="O149" s="75"/>
      <c r="P149" s="75"/>
      <c r="Q149" s="75"/>
      <c r="R149" s="75"/>
      <c r="S149" s="75"/>
      <c r="T149" s="75"/>
      <c r="U149" s="75"/>
      <c r="V149" s="75"/>
      <c r="W149" s="74">
        <v>0.05</v>
      </c>
      <c r="X149" s="75" t="s">
        <v>824</v>
      </c>
      <c r="Y149" s="74">
        <v>0.05</v>
      </c>
      <c r="Z149" s="75"/>
      <c r="AA149" s="74">
        <v>0.05</v>
      </c>
      <c r="AB149" s="75" t="s">
        <v>824</v>
      </c>
      <c r="AC149" s="76">
        <v>0.02</v>
      </c>
      <c r="AD149" s="76" t="s">
        <v>824</v>
      </c>
      <c r="AE149" s="76">
        <v>0.05</v>
      </c>
      <c r="AF149" s="75" t="s">
        <v>824</v>
      </c>
      <c r="AG149" s="79">
        <v>0</v>
      </c>
      <c r="AH149" s="78">
        <v>0</v>
      </c>
      <c r="AI149" s="79">
        <v>0</v>
      </c>
      <c r="AJ149" s="78">
        <v>0</v>
      </c>
      <c r="AK149" s="79">
        <v>0</v>
      </c>
      <c r="AL149" s="79">
        <v>0</v>
      </c>
      <c r="AM149" s="80" t="str">
        <f t="shared" si="4"/>
        <v>10.02000</v>
      </c>
      <c r="AN149" t="str">
        <f t="shared" si="5"/>
        <v>10.02000</v>
      </c>
    </row>
    <row r="150" spans="2:40" ht="18" customHeight="1">
      <c r="B150" s="71">
        <v>145</v>
      </c>
      <c r="C150" s="81" t="s">
        <v>393</v>
      </c>
      <c r="D150" s="71" t="s">
        <v>1030</v>
      </c>
      <c r="E150" s="82" t="s">
        <v>1031</v>
      </c>
      <c r="F150" s="85" t="s">
        <v>838</v>
      </c>
      <c r="G150" s="74">
        <v>0.05</v>
      </c>
      <c r="H150" s="74" t="s">
        <v>824</v>
      </c>
      <c r="I150" s="74">
        <v>0.05</v>
      </c>
      <c r="J150" s="75" t="s">
        <v>824</v>
      </c>
      <c r="K150" s="75"/>
      <c r="L150" s="75"/>
      <c r="M150" s="75"/>
      <c r="N150" s="75"/>
      <c r="O150" s="75"/>
      <c r="P150" s="75"/>
      <c r="Q150" s="75"/>
      <c r="R150" s="75"/>
      <c r="S150" s="75"/>
      <c r="T150" s="75"/>
      <c r="U150" s="75"/>
      <c r="V150" s="75"/>
      <c r="W150" s="74">
        <v>0.05</v>
      </c>
      <c r="X150" s="75" t="s">
        <v>824</v>
      </c>
      <c r="Y150" s="74">
        <v>0.05</v>
      </c>
      <c r="Z150" s="75"/>
      <c r="AA150" s="74">
        <v>0.05</v>
      </c>
      <c r="AB150" s="75" t="s">
        <v>824</v>
      </c>
      <c r="AC150" s="76">
        <v>0.05</v>
      </c>
      <c r="AD150" s="76" t="s">
        <v>824</v>
      </c>
      <c r="AE150" s="76">
        <v>0.02</v>
      </c>
      <c r="AF150" s="75" t="s">
        <v>824</v>
      </c>
      <c r="AG150" s="79">
        <v>1.4999999999999999E-2</v>
      </c>
      <c r="AH150" s="78">
        <v>8045</v>
      </c>
      <c r="AI150" s="79">
        <v>0</v>
      </c>
      <c r="AJ150" s="78">
        <v>0</v>
      </c>
      <c r="AK150" s="79">
        <v>0</v>
      </c>
      <c r="AL150" s="79">
        <v>0</v>
      </c>
      <c r="AM150" s="80" t="str">
        <f t="shared" si="4"/>
        <v>10.030,01500</v>
      </c>
      <c r="AN150" t="str">
        <f t="shared" si="5"/>
        <v>10.030,01500</v>
      </c>
    </row>
    <row r="151" spans="2:40" ht="18" customHeight="1">
      <c r="B151" s="71">
        <v>146</v>
      </c>
      <c r="C151" s="81" t="s">
        <v>396</v>
      </c>
      <c r="D151" s="71" t="s">
        <v>1032</v>
      </c>
      <c r="E151" s="82" t="s">
        <v>1033</v>
      </c>
      <c r="F151" s="85" t="s">
        <v>838</v>
      </c>
      <c r="G151" s="74">
        <v>0.05</v>
      </c>
      <c r="H151" s="74" t="s">
        <v>824</v>
      </c>
      <c r="I151" s="74">
        <v>0.05</v>
      </c>
      <c r="J151" s="75" t="s">
        <v>824</v>
      </c>
      <c r="K151" s="75"/>
      <c r="L151" s="75"/>
      <c r="M151" s="75"/>
      <c r="N151" s="75"/>
      <c r="O151" s="75"/>
      <c r="P151" s="75"/>
      <c r="Q151" s="75"/>
      <c r="R151" s="75"/>
      <c r="S151" s="75"/>
      <c r="T151" s="75"/>
      <c r="U151" s="75"/>
      <c r="V151" s="75"/>
      <c r="W151" s="74">
        <v>0.05</v>
      </c>
      <c r="X151" s="75" t="s">
        <v>824</v>
      </c>
      <c r="Y151" s="74">
        <v>0.05</v>
      </c>
      <c r="Z151" s="75"/>
      <c r="AA151" s="74">
        <v>0.05</v>
      </c>
      <c r="AB151" s="75" t="s">
        <v>824</v>
      </c>
      <c r="AC151" s="76">
        <v>0.05</v>
      </c>
      <c r="AD151" s="76" t="s">
        <v>824</v>
      </c>
      <c r="AE151" s="76">
        <v>0.05</v>
      </c>
      <c r="AF151" s="75" t="s">
        <v>824</v>
      </c>
      <c r="AG151" s="79">
        <v>1.4999999999999999E-2</v>
      </c>
      <c r="AH151" s="78">
        <v>8045</v>
      </c>
      <c r="AI151" s="79">
        <v>0</v>
      </c>
      <c r="AJ151" s="78">
        <v>0</v>
      </c>
      <c r="AK151" s="79">
        <v>0</v>
      </c>
      <c r="AL151" s="79">
        <v>0</v>
      </c>
      <c r="AM151" s="80" t="str">
        <f t="shared" si="4"/>
        <v>10.040,01500</v>
      </c>
      <c r="AN151" t="str">
        <f t="shared" si="5"/>
        <v>10.040,01500</v>
      </c>
    </row>
    <row r="152" spans="2:40" ht="18" customHeight="1">
      <c r="B152" s="71">
        <v>147</v>
      </c>
      <c r="C152" s="81" t="s">
        <v>399</v>
      </c>
      <c r="D152" s="71" t="s">
        <v>1034</v>
      </c>
      <c r="E152" s="82" t="s">
        <v>1035</v>
      </c>
      <c r="F152" s="85" t="s">
        <v>838</v>
      </c>
      <c r="G152" s="74">
        <v>0.05</v>
      </c>
      <c r="H152" s="74" t="s">
        <v>824</v>
      </c>
      <c r="I152" s="74">
        <v>0.03</v>
      </c>
      <c r="J152" s="75" t="s">
        <v>824</v>
      </c>
      <c r="K152" s="79"/>
      <c r="L152" s="79"/>
      <c r="M152" s="78"/>
      <c r="N152" s="78"/>
      <c r="O152" s="86" t="s">
        <v>825</v>
      </c>
      <c r="P152" s="86"/>
      <c r="Q152" s="79" t="s">
        <v>825</v>
      </c>
      <c r="R152" s="87"/>
      <c r="S152" s="80"/>
      <c r="T152" s="80"/>
      <c r="U152"/>
      <c r="W152" s="74" t="s">
        <v>1036</v>
      </c>
      <c r="X152" s="75" t="s">
        <v>824</v>
      </c>
      <c r="Y152" s="74">
        <v>0.05</v>
      </c>
      <c r="AA152" s="74">
        <v>0.05</v>
      </c>
      <c r="AB152" s="75" t="s">
        <v>824</v>
      </c>
      <c r="AC152" s="76">
        <v>0.05</v>
      </c>
      <c r="AD152" s="76" t="s">
        <v>824</v>
      </c>
      <c r="AE152" s="76">
        <v>0.02</v>
      </c>
      <c r="AF152" s="75" t="s">
        <v>824</v>
      </c>
      <c r="AG152" s="79">
        <v>1.4999999999999999E-2</v>
      </c>
      <c r="AH152" s="78">
        <v>8045</v>
      </c>
      <c r="AI152" s="79">
        <v>0</v>
      </c>
      <c r="AJ152" s="78">
        <v>0</v>
      </c>
      <c r="AK152" s="79">
        <v>0</v>
      </c>
      <c r="AL152" s="79">
        <v>0</v>
      </c>
      <c r="AM152" s="80" t="str">
        <f t="shared" si="4"/>
        <v>10.050,01500</v>
      </c>
      <c r="AN152" t="str">
        <f t="shared" si="5"/>
        <v>10.050,01500</v>
      </c>
    </row>
    <row r="153" spans="2:40" ht="18" customHeight="1">
      <c r="B153" s="71">
        <v>148</v>
      </c>
      <c r="C153" s="81" t="s">
        <v>399</v>
      </c>
      <c r="D153" s="71" t="s">
        <v>1037</v>
      </c>
      <c r="E153" s="82" t="s">
        <v>1035</v>
      </c>
      <c r="F153" s="85" t="s">
        <v>1029</v>
      </c>
      <c r="G153" s="74">
        <v>0.05</v>
      </c>
      <c r="H153" s="74" t="s">
        <v>824</v>
      </c>
      <c r="I153" s="74">
        <v>0.03</v>
      </c>
      <c r="J153" s="75" t="s">
        <v>824</v>
      </c>
      <c r="K153" s="75"/>
      <c r="L153" s="75"/>
      <c r="M153" s="75"/>
      <c r="N153" s="75"/>
      <c r="O153" s="75"/>
      <c r="P153" s="75"/>
      <c r="Q153" s="75"/>
      <c r="R153" s="75"/>
      <c r="S153" s="75"/>
      <c r="T153" s="75"/>
      <c r="U153" s="75"/>
      <c r="V153" s="75"/>
      <c r="W153" s="74" t="s">
        <v>1036</v>
      </c>
      <c r="X153" s="75" t="s">
        <v>824</v>
      </c>
      <c r="Y153" s="74">
        <v>0.05</v>
      </c>
      <c r="Z153" s="75"/>
      <c r="AA153" s="74">
        <v>0.05</v>
      </c>
      <c r="AB153" s="75" t="s">
        <v>824</v>
      </c>
      <c r="AC153" s="76">
        <v>0.05</v>
      </c>
      <c r="AD153" s="76" t="s">
        <v>824</v>
      </c>
      <c r="AE153" s="76">
        <v>0.02</v>
      </c>
      <c r="AF153" s="75" t="s">
        <v>824</v>
      </c>
      <c r="AG153" s="79">
        <v>0</v>
      </c>
      <c r="AH153" s="78">
        <v>0</v>
      </c>
      <c r="AI153" s="79">
        <v>0</v>
      </c>
      <c r="AJ153" s="78">
        <v>0</v>
      </c>
      <c r="AK153" s="79">
        <v>0</v>
      </c>
      <c r="AL153" s="79">
        <v>0</v>
      </c>
      <c r="AM153" s="80" t="str">
        <f t="shared" si="4"/>
        <v>10.05000</v>
      </c>
      <c r="AN153" t="str">
        <f t="shared" si="5"/>
        <v>10.05000</v>
      </c>
    </row>
    <row r="154" spans="2:40" ht="18" customHeight="1">
      <c r="B154" s="71">
        <v>149</v>
      </c>
      <c r="C154" s="81" t="s">
        <v>403</v>
      </c>
      <c r="D154" s="71" t="s">
        <v>1038</v>
      </c>
      <c r="E154" s="82" t="s">
        <v>1039</v>
      </c>
      <c r="F154" s="85" t="s">
        <v>838</v>
      </c>
      <c r="G154" s="74">
        <v>0.05</v>
      </c>
      <c r="H154" s="74" t="s">
        <v>824</v>
      </c>
      <c r="I154" s="74">
        <v>0.05</v>
      </c>
      <c r="J154" s="75" t="s">
        <v>824</v>
      </c>
      <c r="K154" s="75"/>
      <c r="L154" s="75"/>
      <c r="M154" s="75"/>
      <c r="N154" s="75"/>
      <c r="O154" s="75"/>
      <c r="P154" s="75"/>
      <c r="Q154" s="75"/>
      <c r="R154" s="75"/>
      <c r="S154" s="75"/>
      <c r="T154" s="75"/>
      <c r="U154" s="75"/>
      <c r="V154" s="75"/>
      <c r="W154" s="74">
        <v>0.05</v>
      </c>
      <c r="X154" s="75" t="s">
        <v>824</v>
      </c>
      <c r="Y154" s="74">
        <v>0.05</v>
      </c>
      <c r="Z154" s="75"/>
      <c r="AA154" s="74">
        <v>0.05</v>
      </c>
      <c r="AB154" s="75" t="s">
        <v>824</v>
      </c>
      <c r="AC154" s="76">
        <v>0.05</v>
      </c>
      <c r="AD154" s="76" t="s">
        <v>824</v>
      </c>
      <c r="AE154" s="76">
        <v>0.02</v>
      </c>
      <c r="AF154" s="75" t="s">
        <v>824</v>
      </c>
      <c r="AG154" s="79">
        <v>0</v>
      </c>
      <c r="AH154" s="78">
        <v>0</v>
      </c>
      <c r="AI154" s="79">
        <v>0</v>
      </c>
      <c r="AJ154" s="78">
        <v>0</v>
      </c>
      <c r="AK154" s="79">
        <v>0</v>
      </c>
      <c r="AL154" s="79">
        <v>0</v>
      </c>
      <c r="AM154" s="80" t="str">
        <f t="shared" si="4"/>
        <v>10.06000</v>
      </c>
      <c r="AN154" t="str">
        <f t="shared" si="5"/>
        <v>10.06000</v>
      </c>
    </row>
    <row r="155" spans="2:40" ht="18" customHeight="1">
      <c r="B155" s="71">
        <v>150</v>
      </c>
      <c r="C155" s="81" t="s">
        <v>406</v>
      </c>
      <c r="D155" s="71" t="s">
        <v>1040</v>
      </c>
      <c r="E155" s="82" t="s">
        <v>1041</v>
      </c>
      <c r="F155" s="85" t="s">
        <v>838</v>
      </c>
      <c r="G155" s="74">
        <v>0.05</v>
      </c>
      <c r="H155" s="74" t="s">
        <v>824</v>
      </c>
      <c r="I155" s="74">
        <v>0.05</v>
      </c>
      <c r="J155" s="75" t="s">
        <v>824</v>
      </c>
      <c r="K155" s="75"/>
      <c r="L155" s="75"/>
      <c r="M155" s="75"/>
      <c r="N155" s="75"/>
      <c r="O155" s="75"/>
      <c r="P155" s="75"/>
      <c r="Q155" s="75"/>
      <c r="R155" s="75"/>
      <c r="S155" s="75"/>
      <c r="T155" s="75"/>
      <c r="U155" s="75"/>
      <c r="V155" s="75"/>
      <c r="W155" s="74">
        <v>0.05</v>
      </c>
      <c r="X155" s="75" t="s">
        <v>824</v>
      </c>
      <c r="Y155" s="74">
        <v>0.05</v>
      </c>
      <c r="Z155" s="75"/>
      <c r="AA155" s="74">
        <v>0.05</v>
      </c>
      <c r="AB155" s="75" t="s">
        <v>824</v>
      </c>
      <c r="AC155" s="76">
        <v>0.05</v>
      </c>
      <c r="AD155" s="76" t="s">
        <v>824</v>
      </c>
      <c r="AE155" s="76">
        <v>0.02</v>
      </c>
      <c r="AF155" s="75" t="s">
        <v>824</v>
      </c>
      <c r="AG155" s="79">
        <v>1.4999999999999999E-2</v>
      </c>
      <c r="AH155" s="78">
        <v>8045</v>
      </c>
      <c r="AI155" s="79">
        <v>0</v>
      </c>
      <c r="AJ155" s="78">
        <v>0</v>
      </c>
      <c r="AK155" s="79">
        <v>0</v>
      </c>
      <c r="AL155" s="79">
        <v>0</v>
      </c>
      <c r="AM155" s="80" t="str">
        <f t="shared" si="4"/>
        <v>10.070,01500</v>
      </c>
      <c r="AN155" t="str">
        <f t="shared" si="5"/>
        <v>10.070,01500</v>
      </c>
    </row>
    <row r="156" spans="2:40" ht="18" customHeight="1">
      <c r="B156" s="71">
        <v>151</v>
      </c>
      <c r="C156" s="81" t="s">
        <v>409</v>
      </c>
      <c r="D156" s="71" t="s">
        <v>1042</v>
      </c>
      <c r="E156" s="82" t="s">
        <v>1043</v>
      </c>
      <c r="F156" s="85" t="s">
        <v>838</v>
      </c>
      <c r="G156" s="74">
        <v>0.05</v>
      </c>
      <c r="H156" s="74" t="s">
        <v>824</v>
      </c>
      <c r="I156" s="74">
        <v>0.05</v>
      </c>
      <c r="J156" s="75" t="s">
        <v>824</v>
      </c>
      <c r="K156" s="75"/>
      <c r="L156" s="75"/>
      <c r="M156" s="75"/>
      <c r="N156" s="75"/>
      <c r="O156" s="75"/>
      <c r="P156" s="75"/>
      <c r="Q156" s="75"/>
      <c r="R156" s="75"/>
      <c r="S156" s="75"/>
      <c r="T156" s="75"/>
      <c r="U156" s="75"/>
      <c r="V156" s="75"/>
      <c r="W156" s="74">
        <v>0.05</v>
      </c>
      <c r="X156" s="75" t="s">
        <v>824</v>
      </c>
      <c r="Y156" s="74">
        <v>0.05</v>
      </c>
      <c r="Z156" s="75"/>
      <c r="AA156" s="74">
        <v>0.05</v>
      </c>
      <c r="AB156" s="75" t="s">
        <v>824</v>
      </c>
      <c r="AC156" s="76">
        <v>0.02</v>
      </c>
      <c r="AD156" s="76" t="s">
        <v>824</v>
      </c>
      <c r="AE156" s="76">
        <v>0.02</v>
      </c>
      <c r="AF156" s="75" t="s">
        <v>824</v>
      </c>
      <c r="AG156" s="79">
        <v>1.4999999999999999E-2</v>
      </c>
      <c r="AH156" s="78">
        <v>8045</v>
      </c>
      <c r="AI156" s="79">
        <v>0</v>
      </c>
      <c r="AJ156" s="78">
        <v>0</v>
      </c>
      <c r="AK156" s="79">
        <v>0</v>
      </c>
      <c r="AL156" s="79">
        <v>0</v>
      </c>
      <c r="AM156" s="80" t="str">
        <f t="shared" si="4"/>
        <v>10.080,01500</v>
      </c>
      <c r="AN156" t="str">
        <f t="shared" si="5"/>
        <v>10.080,01500</v>
      </c>
    </row>
    <row r="157" spans="2:40" ht="18" customHeight="1">
      <c r="B157" s="71">
        <v>152</v>
      </c>
      <c r="C157" s="81" t="s">
        <v>409</v>
      </c>
      <c r="D157" s="71" t="s">
        <v>1044</v>
      </c>
      <c r="E157" s="82" t="s">
        <v>1043</v>
      </c>
      <c r="F157" s="85" t="s">
        <v>1029</v>
      </c>
      <c r="G157" s="74">
        <v>0.05</v>
      </c>
      <c r="H157" s="74" t="s">
        <v>824</v>
      </c>
      <c r="I157" s="74">
        <v>0.05</v>
      </c>
      <c r="J157" s="75" t="s">
        <v>824</v>
      </c>
      <c r="K157" s="75"/>
      <c r="L157" s="75"/>
      <c r="M157" s="75"/>
      <c r="N157" s="75"/>
      <c r="O157" s="75"/>
      <c r="P157" s="75"/>
      <c r="Q157" s="75"/>
      <c r="R157" s="75"/>
      <c r="S157" s="75"/>
      <c r="T157" s="75"/>
      <c r="U157" s="75"/>
      <c r="V157" s="75"/>
      <c r="W157" s="74">
        <v>0.05</v>
      </c>
      <c r="X157" s="75" t="s">
        <v>824</v>
      </c>
      <c r="Y157" s="74">
        <v>0.05</v>
      </c>
      <c r="Z157" s="75"/>
      <c r="AA157" s="74">
        <v>0.05</v>
      </c>
      <c r="AB157" s="75" t="s">
        <v>824</v>
      </c>
      <c r="AC157" s="76">
        <v>0.02</v>
      </c>
      <c r="AD157" s="76" t="s">
        <v>824</v>
      </c>
      <c r="AE157" s="76">
        <v>0.02</v>
      </c>
      <c r="AF157" s="75" t="s">
        <v>824</v>
      </c>
      <c r="AG157" s="79">
        <v>0</v>
      </c>
      <c r="AH157" s="78">
        <v>0</v>
      </c>
      <c r="AI157" s="79">
        <v>0</v>
      </c>
      <c r="AJ157" s="78">
        <v>0</v>
      </c>
      <c r="AK157" s="79">
        <v>0</v>
      </c>
      <c r="AL157" s="79">
        <v>0</v>
      </c>
      <c r="AM157" s="80" t="str">
        <f t="shared" si="4"/>
        <v>10.08000</v>
      </c>
      <c r="AN157" t="str">
        <f t="shared" si="5"/>
        <v>10.08000</v>
      </c>
    </row>
    <row r="158" spans="2:40" ht="18" customHeight="1">
      <c r="B158" s="71">
        <v>153</v>
      </c>
      <c r="C158" s="81" t="s">
        <v>412</v>
      </c>
      <c r="D158" s="71" t="s">
        <v>1045</v>
      </c>
      <c r="E158" s="82" t="s">
        <v>1046</v>
      </c>
      <c r="F158" s="85" t="s">
        <v>838</v>
      </c>
      <c r="G158" s="74">
        <v>0.05</v>
      </c>
      <c r="H158" s="74" t="s">
        <v>824</v>
      </c>
      <c r="I158" s="74">
        <v>0.03</v>
      </c>
      <c r="J158" s="75" t="s">
        <v>824</v>
      </c>
      <c r="K158" s="75"/>
      <c r="L158" s="75"/>
      <c r="M158" s="75"/>
      <c r="N158" s="75"/>
      <c r="O158" s="75"/>
      <c r="P158" s="75"/>
      <c r="Q158" s="75"/>
      <c r="R158" s="75"/>
      <c r="S158" s="75"/>
      <c r="T158" s="75"/>
      <c r="U158" s="75"/>
      <c r="V158" s="75"/>
      <c r="W158" s="74">
        <v>0.05</v>
      </c>
      <c r="X158" s="75" t="s">
        <v>849</v>
      </c>
      <c r="Y158" s="74">
        <v>0.05</v>
      </c>
      <c r="Z158" s="75"/>
      <c r="AA158" s="74">
        <v>0.05</v>
      </c>
      <c r="AB158" s="75" t="s">
        <v>824</v>
      </c>
      <c r="AC158" s="76">
        <v>0.05</v>
      </c>
      <c r="AD158" s="76" t="s">
        <v>824</v>
      </c>
      <c r="AE158" s="76">
        <v>0.02</v>
      </c>
      <c r="AF158" s="75" t="s">
        <v>824</v>
      </c>
      <c r="AG158" s="79">
        <v>1.4999999999999999E-2</v>
      </c>
      <c r="AH158" s="78">
        <v>8045</v>
      </c>
      <c r="AI158" s="79">
        <v>0</v>
      </c>
      <c r="AJ158" s="78">
        <v>0</v>
      </c>
      <c r="AK158" s="79">
        <v>0</v>
      </c>
      <c r="AL158" s="79">
        <v>0</v>
      </c>
      <c r="AM158" s="80" t="str">
        <f t="shared" si="4"/>
        <v>10.090,01500</v>
      </c>
      <c r="AN158" t="str">
        <f t="shared" si="5"/>
        <v>10.090,01500</v>
      </c>
    </row>
    <row r="159" spans="2:40" ht="18" customHeight="1">
      <c r="B159" s="71">
        <v>154</v>
      </c>
      <c r="C159" s="81" t="s">
        <v>412</v>
      </c>
      <c r="D159" s="71" t="s">
        <v>1047</v>
      </c>
      <c r="E159" s="82" t="s">
        <v>1046</v>
      </c>
      <c r="F159" s="85" t="s">
        <v>1048</v>
      </c>
      <c r="G159" s="74">
        <v>0.05</v>
      </c>
      <c r="H159" s="74" t="s">
        <v>824</v>
      </c>
      <c r="I159" s="74">
        <v>0.03</v>
      </c>
      <c r="J159" s="75" t="s">
        <v>824</v>
      </c>
      <c r="K159" s="75"/>
      <c r="L159" s="75"/>
      <c r="M159" s="75"/>
      <c r="N159" s="75"/>
      <c r="O159" s="75"/>
      <c r="P159" s="75"/>
      <c r="Q159" s="75"/>
      <c r="R159" s="75"/>
      <c r="S159" s="75"/>
      <c r="T159" s="75"/>
      <c r="U159" s="75"/>
      <c r="V159" s="75"/>
      <c r="W159" s="74">
        <v>0.05</v>
      </c>
      <c r="X159" s="75" t="s">
        <v>849</v>
      </c>
      <c r="Y159" s="74">
        <v>0.05</v>
      </c>
      <c r="Z159" s="75"/>
      <c r="AA159" s="74">
        <v>0.05</v>
      </c>
      <c r="AB159" s="75" t="s">
        <v>824</v>
      </c>
      <c r="AC159" s="76">
        <v>0.05</v>
      </c>
      <c r="AD159" s="76" t="s">
        <v>824</v>
      </c>
      <c r="AE159" s="76">
        <v>0.02</v>
      </c>
      <c r="AF159" s="75" t="s">
        <v>824</v>
      </c>
      <c r="AG159" s="79">
        <v>1.4999999999999999E-2</v>
      </c>
      <c r="AH159" s="78">
        <v>8045</v>
      </c>
      <c r="AI159" s="79">
        <v>4.65E-2</v>
      </c>
      <c r="AJ159" s="78">
        <v>5952</v>
      </c>
      <c r="AK159" s="79">
        <v>0</v>
      </c>
      <c r="AL159" s="79">
        <v>0</v>
      </c>
      <c r="AM159" s="80" t="str">
        <f t="shared" si="4"/>
        <v>10.090,0150,04650</v>
      </c>
      <c r="AN159" t="str">
        <f t="shared" si="5"/>
        <v>10.090,0150,04650</v>
      </c>
    </row>
    <row r="160" spans="2:40" ht="18" customHeight="1">
      <c r="B160" s="71">
        <v>155</v>
      </c>
      <c r="C160" s="81" t="s">
        <v>415</v>
      </c>
      <c r="D160" s="71" t="s">
        <v>1049</v>
      </c>
      <c r="E160" s="82" t="s">
        <v>1050</v>
      </c>
      <c r="F160" s="85" t="s">
        <v>838</v>
      </c>
      <c r="G160" s="74">
        <v>0.05</v>
      </c>
      <c r="H160" s="74" t="s">
        <v>824</v>
      </c>
      <c r="I160" s="74">
        <v>0.03</v>
      </c>
      <c r="J160" s="75" t="s">
        <v>824</v>
      </c>
      <c r="K160" s="75"/>
      <c r="L160" s="75"/>
      <c r="M160" s="75"/>
      <c r="N160" s="75"/>
      <c r="O160" s="75"/>
      <c r="P160" s="75"/>
      <c r="Q160" s="75"/>
      <c r="R160" s="75"/>
      <c r="S160" s="75"/>
      <c r="T160" s="75"/>
      <c r="U160" s="75"/>
      <c r="V160" s="75"/>
      <c r="W160" s="74">
        <v>0.05</v>
      </c>
      <c r="X160" s="75" t="s">
        <v>824</v>
      </c>
      <c r="Y160" s="74">
        <v>0.05</v>
      </c>
      <c r="Z160" s="75"/>
      <c r="AA160" s="74">
        <v>0.05</v>
      </c>
      <c r="AB160" s="75" t="s">
        <v>824</v>
      </c>
      <c r="AC160" s="76">
        <v>0.05</v>
      </c>
      <c r="AD160" s="76" t="s">
        <v>824</v>
      </c>
      <c r="AE160" s="76">
        <v>0.02</v>
      </c>
      <c r="AF160" s="75" t="s">
        <v>824</v>
      </c>
      <c r="AG160" s="79">
        <v>1.4999999999999999E-2</v>
      </c>
      <c r="AH160" s="78">
        <v>8045</v>
      </c>
      <c r="AI160" s="79">
        <v>0</v>
      </c>
      <c r="AJ160" s="78">
        <v>0</v>
      </c>
      <c r="AK160" s="79">
        <v>0</v>
      </c>
      <c r="AL160" s="79">
        <v>0</v>
      </c>
      <c r="AM160" s="80" t="str">
        <f t="shared" si="4"/>
        <v>10.100,01500</v>
      </c>
      <c r="AN160" t="str">
        <f t="shared" si="5"/>
        <v>10.100,01500</v>
      </c>
    </row>
    <row r="161" spans="2:40" ht="18" customHeight="1">
      <c r="B161" s="71">
        <v>156</v>
      </c>
      <c r="C161" s="81" t="s">
        <v>418</v>
      </c>
      <c r="D161" s="71" t="s">
        <v>1051</v>
      </c>
      <c r="E161" s="82" t="s">
        <v>1052</v>
      </c>
      <c r="F161" s="85" t="s">
        <v>838</v>
      </c>
      <c r="G161" s="74">
        <v>0.05</v>
      </c>
      <c r="H161" s="74" t="s">
        <v>824</v>
      </c>
      <c r="I161" s="74">
        <v>0.05</v>
      </c>
      <c r="J161" s="75" t="s">
        <v>849</v>
      </c>
      <c r="K161" s="91"/>
      <c r="L161" s="91"/>
      <c r="M161" s="91"/>
      <c r="N161" s="91"/>
      <c r="O161" s="91"/>
      <c r="P161" s="91"/>
      <c r="Q161" s="91"/>
      <c r="R161" s="91"/>
      <c r="S161" s="91"/>
      <c r="T161" s="91"/>
      <c r="U161" s="91"/>
      <c r="V161" s="91"/>
      <c r="W161" s="74">
        <v>0.05</v>
      </c>
      <c r="X161" s="75" t="s">
        <v>824</v>
      </c>
      <c r="Y161" s="74">
        <v>0.05</v>
      </c>
      <c r="Z161" s="91"/>
      <c r="AA161" s="74">
        <v>0.05</v>
      </c>
      <c r="AB161" s="75" t="s">
        <v>824</v>
      </c>
      <c r="AC161" s="76">
        <v>0.05</v>
      </c>
      <c r="AD161" s="76" t="s">
        <v>824</v>
      </c>
      <c r="AE161" s="76">
        <v>0.05</v>
      </c>
      <c r="AF161" s="75" t="s">
        <v>870</v>
      </c>
      <c r="AG161" s="79">
        <v>0</v>
      </c>
      <c r="AH161" s="78">
        <v>0</v>
      </c>
      <c r="AI161" s="79">
        <v>0</v>
      </c>
      <c r="AJ161" s="78">
        <v>0</v>
      </c>
      <c r="AK161" s="79">
        <v>0</v>
      </c>
      <c r="AL161" s="79">
        <v>0</v>
      </c>
      <c r="AM161" s="80" t="str">
        <f t="shared" si="4"/>
        <v>11.01000</v>
      </c>
      <c r="AN161" t="str">
        <f t="shared" si="5"/>
        <v>11.01000</v>
      </c>
    </row>
    <row r="162" spans="2:40" ht="18" customHeight="1">
      <c r="B162" s="71">
        <v>157</v>
      </c>
      <c r="C162" s="81" t="s">
        <v>421</v>
      </c>
      <c r="D162" s="71" t="s">
        <v>1053</v>
      </c>
      <c r="E162" s="82" t="s">
        <v>1054</v>
      </c>
      <c r="F162" s="85" t="s">
        <v>838</v>
      </c>
      <c r="G162" s="74">
        <v>2.5000000000000001E-2</v>
      </c>
      <c r="H162" s="77" t="s">
        <v>870</v>
      </c>
      <c r="I162" s="74">
        <v>0.03</v>
      </c>
      <c r="J162" s="75" t="s">
        <v>849</v>
      </c>
      <c r="K162" s="79"/>
      <c r="L162" s="79"/>
      <c r="M162" s="78"/>
      <c r="N162" s="78" t="s">
        <v>870</v>
      </c>
      <c r="O162" s="86"/>
      <c r="P162" s="86"/>
      <c r="Q162" s="79"/>
      <c r="R162" s="87"/>
      <c r="S162" s="86">
        <v>0.05</v>
      </c>
      <c r="T162" s="86" t="s">
        <v>870</v>
      </c>
      <c r="U162"/>
      <c r="W162" s="74">
        <v>0.05</v>
      </c>
      <c r="X162" s="75" t="s">
        <v>849</v>
      </c>
      <c r="Y162" s="74">
        <v>0.05</v>
      </c>
      <c r="Z162" s="74" t="s">
        <v>870</v>
      </c>
      <c r="AA162" s="74">
        <v>0.02</v>
      </c>
      <c r="AB162" s="75" t="s">
        <v>849</v>
      </c>
      <c r="AC162" s="76">
        <v>0.05</v>
      </c>
      <c r="AD162" s="89" t="s">
        <v>849</v>
      </c>
      <c r="AE162" s="76">
        <v>0.02</v>
      </c>
      <c r="AF162" s="75" t="s">
        <v>870</v>
      </c>
      <c r="AG162" s="79">
        <v>0.01</v>
      </c>
      <c r="AH162" s="78">
        <v>1708</v>
      </c>
      <c r="AI162" s="79">
        <v>4.65E-2</v>
      </c>
      <c r="AJ162" s="78">
        <v>5952</v>
      </c>
      <c r="AK162" s="79">
        <v>0.11</v>
      </c>
      <c r="AL162" s="79">
        <v>3.5000000000000003E-2</v>
      </c>
      <c r="AM162" s="80" t="str">
        <f t="shared" si="4"/>
        <v>11.020,010,04650,11</v>
      </c>
      <c r="AN162" t="str">
        <f t="shared" si="5"/>
        <v>11.020,010,04650,035</v>
      </c>
    </row>
    <row r="163" spans="2:40" ht="18" customHeight="1">
      <c r="B163" s="71">
        <v>158</v>
      </c>
      <c r="C163" s="81" t="s">
        <v>421</v>
      </c>
      <c r="D163" s="71" t="s">
        <v>1055</v>
      </c>
      <c r="E163" s="82" t="s">
        <v>1054</v>
      </c>
      <c r="F163" s="85" t="s">
        <v>1056</v>
      </c>
      <c r="G163" s="74">
        <v>2.5000000000000001E-2</v>
      </c>
      <c r="H163" s="77" t="s">
        <v>870</v>
      </c>
      <c r="I163" s="74">
        <v>0.03</v>
      </c>
      <c r="J163" s="75" t="s">
        <v>849</v>
      </c>
      <c r="K163" s="91"/>
      <c r="L163" s="91"/>
      <c r="M163" s="74"/>
      <c r="N163" s="74" t="s">
        <v>870</v>
      </c>
      <c r="O163" s="74"/>
      <c r="P163" s="74"/>
      <c r="Q163" s="74"/>
      <c r="R163" s="74"/>
      <c r="S163" s="74">
        <v>0.05</v>
      </c>
      <c r="T163" s="74" t="s">
        <v>870</v>
      </c>
      <c r="U163" s="74"/>
      <c r="V163" s="74"/>
      <c r="W163" s="74">
        <v>0.05</v>
      </c>
      <c r="X163" s="75" t="s">
        <v>849</v>
      </c>
      <c r="Y163" s="74">
        <v>0.05</v>
      </c>
      <c r="Z163" s="74" t="s">
        <v>870</v>
      </c>
      <c r="AA163" s="74">
        <v>0.02</v>
      </c>
      <c r="AB163" s="75" t="s">
        <v>849</v>
      </c>
      <c r="AC163" s="76">
        <v>0.05</v>
      </c>
      <c r="AD163" s="89" t="s">
        <v>849</v>
      </c>
      <c r="AE163" s="76">
        <v>0.02</v>
      </c>
      <c r="AF163" s="75" t="s">
        <v>870</v>
      </c>
      <c r="AG163" s="79">
        <v>0.01</v>
      </c>
      <c r="AH163" s="78">
        <v>1708</v>
      </c>
      <c r="AI163" s="79">
        <v>4.65E-2</v>
      </c>
      <c r="AJ163" s="78">
        <v>5952</v>
      </c>
      <c r="AK163" s="79">
        <v>0</v>
      </c>
      <c r="AL163" s="79">
        <v>0</v>
      </c>
      <c r="AM163" s="80" t="str">
        <f t="shared" si="4"/>
        <v>11.020,010,04650</v>
      </c>
      <c r="AN163" t="str">
        <f t="shared" si="5"/>
        <v>11.020,010,04650</v>
      </c>
    </row>
    <row r="164" spans="2:40" ht="18" customHeight="1">
      <c r="B164" s="71">
        <v>159</v>
      </c>
      <c r="C164" s="81" t="s">
        <v>424</v>
      </c>
      <c r="D164" s="71" t="s">
        <v>1057</v>
      </c>
      <c r="E164" s="82" t="s">
        <v>1058</v>
      </c>
      <c r="F164" s="85" t="s">
        <v>838</v>
      </c>
      <c r="G164" s="74">
        <v>0.05</v>
      </c>
      <c r="H164" s="74" t="s">
        <v>824</v>
      </c>
      <c r="I164" s="74">
        <v>0.05</v>
      </c>
      <c r="J164" s="75" t="s">
        <v>824</v>
      </c>
      <c r="K164" s="75"/>
      <c r="L164" s="75"/>
      <c r="M164" s="75"/>
      <c r="N164" s="75"/>
      <c r="O164" s="75"/>
      <c r="P164" s="75"/>
      <c r="Q164" s="75"/>
      <c r="R164" s="75"/>
      <c r="S164" s="75"/>
      <c r="T164" s="75"/>
      <c r="U164" s="75"/>
      <c r="V164" s="75"/>
      <c r="W164" s="74">
        <v>0.05</v>
      </c>
      <c r="X164" s="75" t="s">
        <v>824</v>
      </c>
      <c r="Y164" s="74">
        <v>0.05</v>
      </c>
      <c r="Z164" s="75"/>
      <c r="AA164" s="74">
        <v>0.02</v>
      </c>
      <c r="AB164" s="75" t="s">
        <v>824</v>
      </c>
      <c r="AC164" s="76">
        <v>0.05</v>
      </c>
      <c r="AD164" s="76" t="s">
        <v>824</v>
      </c>
      <c r="AE164" s="76">
        <v>0.05</v>
      </c>
      <c r="AF164" s="75" t="s">
        <v>824</v>
      </c>
      <c r="AG164" s="79">
        <v>0.01</v>
      </c>
      <c r="AH164" s="78">
        <v>1708</v>
      </c>
      <c r="AI164" s="79">
        <v>4.65E-2</v>
      </c>
      <c r="AJ164" s="78">
        <v>5952</v>
      </c>
      <c r="AK164" s="79">
        <v>0</v>
      </c>
      <c r="AL164" s="79">
        <v>0</v>
      </c>
      <c r="AM164" s="80" t="str">
        <f t="shared" si="4"/>
        <v>11.030,010,04650</v>
      </c>
      <c r="AN164" t="str">
        <f t="shared" si="5"/>
        <v>11.030,010,04650</v>
      </c>
    </row>
    <row r="165" spans="2:40" ht="18" customHeight="1">
      <c r="B165" s="71">
        <v>160</v>
      </c>
      <c r="C165" s="81" t="s">
        <v>424</v>
      </c>
      <c r="D165" s="71" t="s">
        <v>1059</v>
      </c>
      <c r="E165" s="82" t="s">
        <v>1058</v>
      </c>
      <c r="F165" s="85" t="s">
        <v>840</v>
      </c>
      <c r="G165" s="74">
        <v>0.05</v>
      </c>
      <c r="H165" s="74" t="s">
        <v>824</v>
      </c>
      <c r="I165" s="74">
        <v>0.05</v>
      </c>
      <c r="J165" s="75" t="s">
        <v>824</v>
      </c>
      <c r="K165" s="75"/>
      <c r="L165" s="75"/>
      <c r="M165" s="75"/>
      <c r="N165" s="75"/>
      <c r="O165" s="75"/>
      <c r="P165" s="75"/>
      <c r="Q165" s="75"/>
      <c r="R165" s="75"/>
      <c r="S165" s="75"/>
      <c r="T165" s="75"/>
      <c r="U165" s="75"/>
      <c r="V165" s="75"/>
      <c r="W165" s="74">
        <v>0.05</v>
      </c>
      <c r="X165" s="75" t="s">
        <v>824</v>
      </c>
      <c r="Y165" s="74">
        <v>0.05</v>
      </c>
      <c r="Z165" s="75"/>
      <c r="AA165" s="74">
        <v>0.02</v>
      </c>
      <c r="AB165" s="75" t="s">
        <v>824</v>
      </c>
      <c r="AC165" s="76">
        <v>0.05</v>
      </c>
      <c r="AD165" s="76" t="s">
        <v>824</v>
      </c>
      <c r="AE165" s="76">
        <v>0.05</v>
      </c>
      <c r="AF165" s="75" t="s">
        <v>824</v>
      </c>
      <c r="AG165" s="79">
        <v>0.01</v>
      </c>
      <c r="AH165" s="78">
        <v>1708</v>
      </c>
      <c r="AI165" s="79">
        <v>4.65E-2</v>
      </c>
      <c r="AJ165" s="78">
        <v>5952</v>
      </c>
      <c r="AK165" s="79">
        <v>0.11</v>
      </c>
      <c r="AL165" s="79">
        <v>3.5000000000000003E-2</v>
      </c>
      <c r="AM165" s="80" t="str">
        <f t="shared" si="4"/>
        <v>11.030,010,04650,11</v>
      </c>
      <c r="AN165" t="str">
        <f t="shared" si="5"/>
        <v>11.030,010,04650,035</v>
      </c>
    </row>
    <row r="166" spans="2:40" ht="18" customHeight="1">
      <c r="B166" s="71">
        <v>161</v>
      </c>
      <c r="C166" s="81" t="s">
        <v>427</v>
      </c>
      <c r="D166" s="71" t="s">
        <v>1060</v>
      </c>
      <c r="E166" s="82" t="s">
        <v>1061</v>
      </c>
      <c r="F166" s="85" t="s">
        <v>838</v>
      </c>
      <c r="G166" s="74">
        <v>0.05</v>
      </c>
      <c r="H166" s="75" t="s">
        <v>870</v>
      </c>
      <c r="I166" s="74" t="s">
        <v>1062</v>
      </c>
      <c r="J166" s="75" t="s">
        <v>849</v>
      </c>
      <c r="K166" s="91"/>
      <c r="L166" s="91"/>
      <c r="M166" s="91"/>
      <c r="N166" s="91"/>
      <c r="O166" s="91">
        <v>0.05</v>
      </c>
      <c r="P166" s="91" t="s">
        <v>824</v>
      </c>
      <c r="Q166" s="91"/>
      <c r="R166" s="91"/>
      <c r="S166" s="91"/>
      <c r="T166" s="91"/>
      <c r="U166" s="91"/>
      <c r="V166" s="91"/>
      <c r="W166" s="74">
        <v>4.6100000000000002E-2</v>
      </c>
      <c r="X166" s="75" t="s">
        <v>849</v>
      </c>
      <c r="Y166" s="74">
        <v>0.05</v>
      </c>
      <c r="Z166" s="91"/>
      <c r="AA166" s="74">
        <v>0.05</v>
      </c>
      <c r="AB166" s="75" t="s">
        <v>824</v>
      </c>
      <c r="AC166" s="76">
        <v>0.05</v>
      </c>
      <c r="AD166" s="89" t="s">
        <v>849</v>
      </c>
      <c r="AE166" s="76">
        <v>0.02</v>
      </c>
      <c r="AF166" s="75" t="s">
        <v>824</v>
      </c>
      <c r="AG166" s="79">
        <v>0</v>
      </c>
      <c r="AH166" s="78">
        <v>0</v>
      </c>
      <c r="AI166" s="79">
        <v>0</v>
      </c>
      <c r="AJ166" s="78">
        <v>0</v>
      </c>
      <c r="AK166" s="79">
        <v>0</v>
      </c>
      <c r="AL166" s="79">
        <v>0</v>
      </c>
      <c r="AM166" s="80" t="str">
        <f t="shared" si="4"/>
        <v>11.04000</v>
      </c>
      <c r="AN166" t="str">
        <f t="shared" si="5"/>
        <v>11.04000</v>
      </c>
    </row>
    <row r="167" spans="2:40" ht="18" customHeight="1">
      <c r="B167" s="71">
        <v>162</v>
      </c>
      <c r="C167" s="81" t="s">
        <v>427</v>
      </c>
      <c r="D167" s="71" t="s">
        <v>1063</v>
      </c>
      <c r="E167" s="82" t="s">
        <v>1061</v>
      </c>
      <c r="F167" s="85" t="s">
        <v>840</v>
      </c>
      <c r="G167" s="74">
        <v>0.05</v>
      </c>
      <c r="H167" s="75" t="s">
        <v>870</v>
      </c>
      <c r="I167" s="74" t="s">
        <v>1062</v>
      </c>
      <c r="J167" s="75" t="s">
        <v>849</v>
      </c>
      <c r="K167" s="91"/>
      <c r="L167" s="91"/>
      <c r="M167" s="91"/>
      <c r="N167" s="91"/>
      <c r="O167" s="91">
        <v>0.05</v>
      </c>
      <c r="P167" s="91" t="s">
        <v>824</v>
      </c>
      <c r="Q167" s="91"/>
      <c r="R167" s="91"/>
      <c r="S167" s="91"/>
      <c r="T167" s="91"/>
      <c r="U167" s="91"/>
      <c r="V167" s="91"/>
      <c r="W167" s="74">
        <v>4.6100000000000002E-2</v>
      </c>
      <c r="X167" s="75" t="s">
        <v>849</v>
      </c>
      <c r="Y167" s="74">
        <v>0.05</v>
      </c>
      <c r="Z167" s="91"/>
      <c r="AA167" s="74">
        <v>0.05</v>
      </c>
      <c r="AB167" s="75" t="s">
        <v>824</v>
      </c>
      <c r="AC167" s="76">
        <v>0.05</v>
      </c>
      <c r="AD167" s="89" t="s">
        <v>849</v>
      </c>
      <c r="AE167" s="76">
        <v>0.02</v>
      </c>
      <c r="AF167" s="75" t="s">
        <v>870</v>
      </c>
      <c r="AG167" s="79">
        <v>0</v>
      </c>
      <c r="AH167" s="78">
        <v>0</v>
      </c>
      <c r="AI167" s="79">
        <v>0</v>
      </c>
      <c r="AJ167" s="78">
        <v>0</v>
      </c>
      <c r="AK167" s="79">
        <v>0.11</v>
      </c>
      <c r="AL167" s="79">
        <v>3.5000000000000003E-2</v>
      </c>
      <c r="AM167" s="80" t="str">
        <f t="shared" si="4"/>
        <v>11.04000,11</v>
      </c>
      <c r="AN167" t="str">
        <f t="shared" si="5"/>
        <v>11.04000,035</v>
      </c>
    </row>
    <row r="168" spans="2:40" ht="18" customHeight="1">
      <c r="B168" s="71">
        <v>163</v>
      </c>
      <c r="C168" s="81" t="s">
        <v>1064</v>
      </c>
      <c r="D168" s="71" t="s">
        <v>1065</v>
      </c>
      <c r="E168" s="82" t="s">
        <v>1066</v>
      </c>
      <c r="F168" s="85" t="s">
        <v>838</v>
      </c>
      <c r="G168" s="74">
        <v>0.05</v>
      </c>
      <c r="H168" s="74" t="s">
        <v>824</v>
      </c>
      <c r="I168" s="74" t="e">
        <v>#N/A</v>
      </c>
      <c r="J168" s="75" t="s">
        <v>824</v>
      </c>
      <c r="K168" s="91"/>
      <c r="L168" s="91"/>
      <c r="M168" s="91"/>
      <c r="N168" s="91"/>
      <c r="O168" s="91"/>
      <c r="P168" s="91"/>
      <c r="Q168" s="91"/>
      <c r="R168" s="91"/>
      <c r="S168" s="91"/>
      <c r="T168" s="91"/>
      <c r="U168" s="91"/>
      <c r="V168" s="91"/>
      <c r="W168" s="74">
        <v>0.05</v>
      </c>
      <c r="X168" s="75" t="s">
        <v>1067</v>
      </c>
      <c r="Y168" s="74">
        <v>0.05</v>
      </c>
      <c r="Z168" s="91"/>
      <c r="AA168" s="74">
        <v>0.05</v>
      </c>
      <c r="AB168" s="75" t="s">
        <v>824</v>
      </c>
      <c r="AC168" s="76">
        <v>0.05</v>
      </c>
      <c r="AD168" s="76" t="s">
        <v>824</v>
      </c>
      <c r="AE168" s="76">
        <v>0.05</v>
      </c>
      <c r="AF168" s="75" t="s">
        <v>824</v>
      </c>
      <c r="AG168" s="79">
        <v>0.01</v>
      </c>
      <c r="AH168" s="78">
        <v>0</v>
      </c>
      <c r="AI168" s="79">
        <v>4.65E-2</v>
      </c>
      <c r="AJ168" s="78">
        <v>0</v>
      </c>
      <c r="AK168" s="79">
        <v>0</v>
      </c>
      <c r="AL168" s="79">
        <v>0</v>
      </c>
      <c r="AM168" s="80" t="str">
        <f t="shared" si="4"/>
        <v>11.050,010,04650</v>
      </c>
      <c r="AN168" t="str">
        <f t="shared" si="5"/>
        <v>11.050,010,04650</v>
      </c>
    </row>
    <row r="169" spans="2:40" ht="18" customHeight="1">
      <c r="B169" s="71">
        <v>164</v>
      </c>
      <c r="C169" s="81" t="s">
        <v>430</v>
      </c>
      <c r="D169" s="71" t="s">
        <v>1068</v>
      </c>
      <c r="E169" s="82" t="s">
        <v>1069</v>
      </c>
      <c r="F169" s="85" t="s">
        <v>838</v>
      </c>
      <c r="G169" s="74">
        <v>0.02</v>
      </c>
      <c r="H169" s="74" t="s">
        <v>824</v>
      </c>
      <c r="I169" s="74">
        <v>0.05</v>
      </c>
      <c r="J169" s="75" t="s">
        <v>849</v>
      </c>
      <c r="K169" s="75"/>
      <c r="L169" s="75"/>
      <c r="M169" s="75"/>
      <c r="N169" s="75" t="s">
        <v>870</v>
      </c>
      <c r="O169" s="75"/>
      <c r="P169" s="75"/>
      <c r="Q169" s="75"/>
      <c r="R169" s="75"/>
      <c r="S169" s="75"/>
      <c r="T169" s="75"/>
      <c r="U169" s="75"/>
      <c r="V169" s="75"/>
      <c r="W169" s="74">
        <v>0.05</v>
      </c>
      <c r="X169" s="75" t="s">
        <v>849</v>
      </c>
      <c r="Y169" s="74">
        <v>0.05</v>
      </c>
      <c r="Z169" s="75"/>
      <c r="AA169" s="74">
        <v>0.02</v>
      </c>
      <c r="AB169" s="75" t="s">
        <v>824</v>
      </c>
      <c r="AC169" s="76">
        <v>0.05</v>
      </c>
      <c r="AD169" s="76" t="s">
        <v>824</v>
      </c>
      <c r="AE169" s="76">
        <v>0.02</v>
      </c>
      <c r="AF169" s="75" t="s">
        <v>824</v>
      </c>
      <c r="AG169" s="79">
        <v>0</v>
      </c>
      <c r="AH169" s="78">
        <v>0</v>
      </c>
      <c r="AI169" s="79">
        <v>0</v>
      </c>
      <c r="AJ169" s="78">
        <v>0</v>
      </c>
      <c r="AK169" s="79">
        <v>0</v>
      </c>
      <c r="AL169" s="79">
        <v>0</v>
      </c>
      <c r="AM169" s="80" t="str">
        <f t="shared" si="4"/>
        <v>12.01000</v>
      </c>
      <c r="AN169" t="str">
        <f t="shared" si="5"/>
        <v>12.01000</v>
      </c>
    </row>
    <row r="170" spans="2:40" ht="18" customHeight="1">
      <c r="B170" s="71">
        <v>165</v>
      </c>
      <c r="C170" s="81" t="s">
        <v>433</v>
      </c>
      <c r="D170" s="71" t="s">
        <v>1070</v>
      </c>
      <c r="E170" s="82" t="s">
        <v>1071</v>
      </c>
      <c r="F170" s="85" t="s">
        <v>838</v>
      </c>
      <c r="G170" s="74">
        <v>0.05</v>
      </c>
      <c r="H170" s="74" t="s">
        <v>824</v>
      </c>
      <c r="I170" s="74">
        <v>0.05</v>
      </c>
      <c r="J170" s="75" t="s">
        <v>849</v>
      </c>
      <c r="K170" s="75"/>
      <c r="L170" s="75"/>
      <c r="M170" s="75"/>
      <c r="N170" s="75" t="s">
        <v>870</v>
      </c>
      <c r="O170" s="75"/>
      <c r="P170" s="75"/>
      <c r="Q170" s="75"/>
      <c r="R170" s="75"/>
      <c r="S170" s="75"/>
      <c r="T170" s="75"/>
      <c r="U170" s="75"/>
      <c r="V170" s="75"/>
      <c r="W170" s="74">
        <v>0.05</v>
      </c>
      <c r="X170" s="75" t="s">
        <v>824</v>
      </c>
      <c r="Y170" s="74">
        <v>0.05</v>
      </c>
      <c r="Z170" s="75"/>
      <c r="AA170" s="74">
        <v>0.02</v>
      </c>
      <c r="AB170" s="75" t="s">
        <v>824</v>
      </c>
      <c r="AC170" s="76">
        <v>0.03</v>
      </c>
      <c r="AD170" s="76" t="s">
        <v>824</v>
      </c>
      <c r="AE170" s="76">
        <v>0.03</v>
      </c>
      <c r="AF170" s="75" t="s">
        <v>824</v>
      </c>
      <c r="AG170" s="79">
        <v>0</v>
      </c>
      <c r="AH170" s="78">
        <v>0</v>
      </c>
      <c r="AI170" s="79">
        <v>0</v>
      </c>
      <c r="AJ170" s="78">
        <v>0</v>
      </c>
      <c r="AK170" s="79">
        <v>0</v>
      </c>
      <c r="AL170" s="79">
        <v>0</v>
      </c>
      <c r="AM170" s="80" t="str">
        <f t="shared" si="4"/>
        <v>12.02000</v>
      </c>
      <c r="AN170" t="str">
        <f t="shared" si="5"/>
        <v>12.02000</v>
      </c>
    </row>
    <row r="171" spans="2:40" ht="18" customHeight="1">
      <c r="B171" s="71">
        <v>166</v>
      </c>
      <c r="C171" s="81" t="s">
        <v>436</v>
      </c>
      <c r="D171" s="71" t="s">
        <v>1072</v>
      </c>
      <c r="E171" s="82" t="s">
        <v>1073</v>
      </c>
      <c r="F171" s="85" t="s">
        <v>838</v>
      </c>
      <c r="G171" s="74">
        <v>0.02</v>
      </c>
      <c r="H171" s="74" t="s">
        <v>824</v>
      </c>
      <c r="I171" s="74">
        <v>0.05</v>
      </c>
      <c r="J171" s="75" t="s">
        <v>849</v>
      </c>
      <c r="K171" s="75"/>
      <c r="L171" s="75"/>
      <c r="M171" s="75"/>
      <c r="N171" s="75" t="s">
        <v>870</v>
      </c>
      <c r="O171" s="75"/>
      <c r="P171" s="75"/>
      <c r="Q171" s="75"/>
      <c r="R171" s="75"/>
      <c r="S171" s="75"/>
      <c r="T171" s="75"/>
      <c r="U171" s="75"/>
      <c r="V171" s="75"/>
      <c r="W171" s="74">
        <v>0.05</v>
      </c>
      <c r="X171" s="75" t="s">
        <v>824</v>
      </c>
      <c r="Y171" s="74">
        <v>0.05</v>
      </c>
      <c r="Z171" s="75"/>
      <c r="AA171" s="74">
        <v>0.02</v>
      </c>
      <c r="AB171" s="75" t="s">
        <v>824</v>
      </c>
      <c r="AC171" s="76">
        <v>0.05</v>
      </c>
      <c r="AD171" s="76" t="s">
        <v>824</v>
      </c>
      <c r="AE171" s="76">
        <v>0.02</v>
      </c>
      <c r="AF171" s="75" t="s">
        <v>824</v>
      </c>
      <c r="AG171" s="79">
        <v>0</v>
      </c>
      <c r="AH171" s="78">
        <v>0</v>
      </c>
      <c r="AI171" s="79">
        <v>0</v>
      </c>
      <c r="AJ171" s="78">
        <v>0</v>
      </c>
      <c r="AK171" s="79">
        <v>0</v>
      </c>
      <c r="AL171" s="79">
        <v>0</v>
      </c>
      <c r="AM171" s="80" t="str">
        <f t="shared" si="4"/>
        <v>12.03000</v>
      </c>
      <c r="AN171" t="str">
        <f t="shared" si="5"/>
        <v>12.03000</v>
      </c>
    </row>
    <row r="172" spans="2:40" ht="18" customHeight="1">
      <c r="B172" s="71">
        <v>167</v>
      </c>
      <c r="C172" s="81" t="s">
        <v>439</v>
      </c>
      <c r="D172" s="71" t="s">
        <v>1074</v>
      </c>
      <c r="E172" s="82" t="s">
        <v>1075</v>
      </c>
      <c r="F172" s="85" t="s">
        <v>838</v>
      </c>
      <c r="G172" s="74">
        <v>0.02</v>
      </c>
      <c r="H172" s="74" t="s">
        <v>824</v>
      </c>
      <c r="I172" s="74">
        <v>0.05</v>
      </c>
      <c r="J172" s="75" t="s">
        <v>849</v>
      </c>
      <c r="K172" s="75"/>
      <c r="L172" s="75"/>
      <c r="M172" s="75"/>
      <c r="N172" s="75" t="s">
        <v>870</v>
      </c>
      <c r="O172" s="75"/>
      <c r="P172" s="75"/>
      <c r="Q172" s="75"/>
      <c r="R172" s="75"/>
      <c r="S172" s="75"/>
      <c r="T172" s="75"/>
      <c r="U172" s="75"/>
      <c r="V172" s="75"/>
      <c r="W172" s="74">
        <v>0.05</v>
      </c>
      <c r="X172" s="75" t="s">
        <v>824</v>
      </c>
      <c r="Y172" s="74">
        <v>0.05</v>
      </c>
      <c r="Z172" s="75"/>
      <c r="AA172" s="74">
        <v>0.05</v>
      </c>
      <c r="AB172" s="75" t="s">
        <v>824</v>
      </c>
      <c r="AC172" s="76">
        <v>0.05</v>
      </c>
      <c r="AD172" s="76" t="s">
        <v>824</v>
      </c>
      <c r="AE172" s="76">
        <v>0.02</v>
      </c>
      <c r="AF172" s="75" t="s">
        <v>824</v>
      </c>
      <c r="AG172" s="79">
        <v>0</v>
      </c>
      <c r="AH172" s="78">
        <v>0</v>
      </c>
      <c r="AI172" s="79">
        <v>0</v>
      </c>
      <c r="AJ172" s="78">
        <v>0</v>
      </c>
      <c r="AK172" s="79">
        <v>0</v>
      </c>
      <c r="AL172" s="79">
        <v>0</v>
      </c>
      <c r="AM172" s="80" t="str">
        <f t="shared" si="4"/>
        <v>12.04000</v>
      </c>
      <c r="AN172" t="str">
        <f t="shared" si="5"/>
        <v>12.04000</v>
      </c>
    </row>
    <row r="173" spans="2:40" ht="18" customHeight="1">
      <c r="B173" s="71">
        <v>168</v>
      </c>
      <c r="C173" s="81" t="s">
        <v>442</v>
      </c>
      <c r="D173" s="71" t="s">
        <v>1076</v>
      </c>
      <c r="E173" s="82" t="s">
        <v>1077</v>
      </c>
      <c r="F173" s="85" t="s">
        <v>838</v>
      </c>
      <c r="G173" s="74">
        <v>0.05</v>
      </c>
      <c r="H173" s="74" t="s">
        <v>824</v>
      </c>
      <c r="I173" s="74">
        <v>0.05</v>
      </c>
      <c r="J173" s="75" t="s">
        <v>849</v>
      </c>
      <c r="K173" s="75"/>
      <c r="L173" s="75"/>
      <c r="M173" s="75"/>
      <c r="N173" s="75" t="s">
        <v>870</v>
      </c>
      <c r="O173" s="75"/>
      <c r="P173" s="75"/>
      <c r="Q173" s="75"/>
      <c r="R173" s="75"/>
      <c r="S173" s="75"/>
      <c r="T173" s="75"/>
      <c r="U173" s="75"/>
      <c r="V173" s="75"/>
      <c r="W173" s="74">
        <v>0.05</v>
      </c>
      <c r="X173" s="75" t="s">
        <v>824</v>
      </c>
      <c r="Y173" s="74">
        <v>0.05</v>
      </c>
      <c r="Z173" s="75"/>
      <c r="AA173" s="74">
        <v>0.02</v>
      </c>
      <c r="AB173" s="75" t="s">
        <v>824</v>
      </c>
      <c r="AC173" s="76">
        <v>0.05</v>
      </c>
      <c r="AD173" s="76" t="s">
        <v>824</v>
      </c>
      <c r="AE173" s="76">
        <v>0.05</v>
      </c>
      <c r="AF173" s="75" t="s">
        <v>824</v>
      </c>
      <c r="AG173" s="79">
        <v>0</v>
      </c>
      <c r="AH173" s="78">
        <v>0</v>
      </c>
      <c r="AI173" s="79">
        <v>0</v>
      </c>
      <c r="AJ173" s="78">
        <v>0</v>
      </c>
      <c r="AK173" s="79">
        <v>0</v>
      </c>
      <c r="AL173" s="79">
        <v>0</v>
      </c>
      <c r="AM173" s="80" t="str">
        <f t="shared" si="4"/>
        <v>12.05000</v>
      </c>
      <c r="AN173" t="str">
        <f t="shared" si="5"/>
        <v>12.05000</v>
      </c>
    </row>
    <row r="174" spans="2:40" ht="18" customHeight="1">
      <c r="B174" s="71">
        <v>169</v>
      </c>
      <c r="C174" s="81" t="s">
        <v>445</v>
      </c>
      <c r="D174" s="71" t="s">
        <v>1078</v>
      </c>
      <c r="E174" s="82" t="s">
        <v>1079</v>
      </c>
      <c r="F174" s="85" t="s">
        <v>838</v>
      </c>
      <c r="G174" s="74">
        <v>0.05</v>
      </c>
      <c r="H174" s="74" t="s">
        <v>824</v>
      </c>
      <c r="I174" s="74">
        <v>0.05</v>
      </c>
      <c r="J174" s="75" t="s">
        <v>849</v>
      </c>
      <c r="K174" s="75"/>
      <c r="L174" s="75"/>
      <c r="M174" s="75"/>
      <c r="N174" s="75" t="s">
        <v>870</v>
      </c>
      <c r="O174" s="75"/>
      <c r="P174" s="75"/>
      <c r="Q174" s="75"/>
      <c r="R174" s="75"/>
      <c r="S174" s="75"/>
      <c r="T174" s="75"/>
      <c r="U174" s="75"/>
      <c r="V174" s="75"/>
      <c r="W174" s="74">
        <v>0.05</v>
      </c>
      <c r="X174" s="75" t="s">
        <v>824</v>
      </c>
      <c r="Y174" s="74">
        <v>0.05</v>
      </c>
      <c r="Z174" s="75"/>
      <c r="AA174" s="74">
        <v>0.05</v>
      </c>
      <c r="AB174" s="75" t="s">
        <v>824</v>
      </c>
      <c r="AC174" s="76">
        <v>0.05</v>
      </c>
      <c r="AD174" s="76" t="s">
        <v>824</v>
      </c>
      <c r="AE174" s="76">
        <v>0.05</v>
      </c>
      <c r="AF174" s="75" t="s">
        <v>824</v>
      </c>
      <c r="AG174" s="79">
        <v>0</v>
      </c>
      <c r="AH174" s="78">
        <v>0</v>
      </c>
      <c r="AI174" s="79">
        <v>0</v>
      </c>
      <c r="AJ174" s="78">
        <v>0</v>
      </c>
      <c r="AK174" s="79">
        <v>0</v>
      </c>
      <c r="AL174" s="79">
        <v>0</v>
      </c>
      <c r="AM174" s="80" t="str">
        <f t="shared" si="4"/>
        <v>12.06000</v>
      </c>
      <c r="AN174" t="str">
        <f t="shared" si="5"/>
        <v>12.06000</v>
      </c>
    </row>
    <row r="175" spans="2:40" ht="18" customHeight="1">
      <c r="B175" s="71">
        <v>170</v>
      </c>
      <c r="C175" s="81" t="s">
        <v>448</v>
      </c>
      <c r="D175" s="71" t="s">
        <v>1080</v>
      </c>
      <c r="E175" s="82" t="s">
        <v>1081</v>
      </c>
      <c r="F175" s="85" t="s">
        <v>838</v>
      </c>
      <c r="G175" s="74">
        <v>0.02</v>
      </c>
      <c r="H175" s="74" t="s">
        <v>824</v>
      </c>
      <c r="I175" s="74">
        <v>0.05</v>
      </c>
      <c r="J175" s="75" t="s">
        <v>849</v>
      </c>
      <c r="K175" s="75"/>
      <c r="L175" s="75"/>
      <c r="M175" s="75"/>
      <c r="N175" s="75" t="s">
        <v>870</v>
      </c>
      <c r="O175" s="75"/>
      <c r="P175" s="75"/>
      <c r="Q175" s="75"/>
      <c r="R175" s="75"/>
      <c r="S175" s="75"/>
      <c r="T175" s="75"/>
      <c r="U175" s="75"/>
      <c r="V175" s="75"/>
      <c r="W175" s="74">
        <v>0.05</v>
      </c>
      <c r="X175" s="75" t="s">
        <v>824</v>
      </c>
      <c r="Y175" s="74">
        <v>0.05</v>
      </c>
      <c r="Z175" s="75"/>
      <c r="AA175" s="74">
        <v>0.05</v>
      </c>
      <c r="AB175" s="75" t="s">
        <v>824</v>
      </c>
      <c r="AC175" s="76">
        <v>0.02</v>
      </c>
      <c r="AD175" s="76" t="s">
        <v>824</v>
      </c>
      <c r="AE175" s="76">
        <v>0.03</v>
      </c>
      <c r="AF175" s="75" t="s">
        <v>824</v>
      </c>
      <c r="AG175" s="79">
        <v>0</v>
      </c>
      <c r="AH175" s="78">
        <v>0</v>
      </c>
      <c r="AI175" s="79">
        <v>0</v>
      </c>
      <c r="AJ175" s="78">
        <v>0</v>
      </c>
      <c r="AK175" s="79">
        <v>0</v>
      </c>
      <c r="AL175" s="79">
        <v>0</v>
      </c>
      <c r="AM175" s="80" t="str">
        <f t="shared" si="4"/>
        <v>12.07000</v>
      </c>
      <c r="AN175" t="str">
        <f t="shared" si="5"/>
        <v>12.07000</v>
      </c>
    </row>
    <row r="176" spans="2:40" ht="18" customHeight="1">
      <c r="B176" s="71">
        <v>171</v>
      </c>
      <c r="C176" s="81" t="s">
        <v>451</v>
      </c>
      <c r="D176" s="71" t="s">
        <v>1082</v>
      </c>
      <c r="E176" s="82" t="s">
        <v>1083</v>
      </c>
      <c r="F176" s="85" t="s">
        <v>838</v>
      </c>
      <c r="G176" s="74">
        <v>0.02</v>
      </c>
      <c r="H176" s="74" t="s">
        <v>870</v>
      </c>
      <c r="I176" s="74">
        <v>0.05</v>
      </c>
      <c r="J176" s="75" t="s">
        <v>849</v>
      </c>
      <c r="K176" s="75"/>
      <c r="L176" s="75"/>
      <c r="M176" s="75"/>
      <c r="N176" s="75" t="s">
        <v>870</v>
      </c>
      <c r="O176" s="75"/>
      <c r="P176" s="75"/>
      <c r="Q176" s="75"/>
      <c r="R176" s="75"/>
      <c r="S176" s="75"/>
      <c r="T176" s="75"/>
      <c r="U176" s="75"/>
      <c r="V176" s="75"/>
      <c r="W176" s="74">
        <v>0.05</v>
      </c>
      <c r="X176" s="75" t="s">
        <v>824</v>
      </c>
      <c r="Y176" s="74">
        <v>0.02</v>
      </c>
      <c r="Z176" s="75"/>
      <c r="AA176" s="74">
        <v>0.05</v>
      </c>
      <c r="AB176" s="75" t="s">
        <v>849</v>
      </c>
      <c r="AC176" s="76">
        <v>0.05</v>
      </c>
      <c r="AD176" s="76" t="s">
        <v>824</v>
      </c>
      <c r="AE176" s="76">
        <v>0.03</v>
      </c>
      <c r="AF176" s="75" t="s">
        <v>824</v>
      </c>
      <c r="AG176" s="79">
        <v>0</v>
      </c>
      <c r="AH176" s="78">
        <v>0</v>
      </c>
      <c r="AI176" s="79">
        <v>0</v>
      </c>
      <c r="AJ176" s="78">
        <v>0</v>
      </c>
      <c r="AK176" s="79">
        <v>0</v>
      </c>
      <c r="AL176" s="79">
        <v>0</v>
      </c>
      <c r="AM176" s="80" t="str">
        <f t="shared" si="4"/>
        <v>12.08000</v>
      </c>
      <c r="AN176" t="str">
        <f t="shared" si="5"/>
        <v>12.08000</v>
      </c>
    </row>
    <row r="177" spans="2:40" ht="18" customHeight="1">
      <c r="B177" s="71">
        <v>172</v>
      </c>
      <c r="C177" s="81" t="s">
        <v>451</v>
      </c>
      <c r="D177" s="71" t="s">
        <v>1084</v>
      </c>
      <c r="E177" s="82" t="s">
        <v>1083</v>
      </c>
      <c r="F177" s="85" t="s">
        <v>840</v>
      </c>
      <c r="G177" s="74">
        <v>0.02</v>
      </c>
      <c r="H177" s="74" t="s">
        <v>870</v>
      </c>
      <c r="I177" s="74">
        <v>0.05</v>
      </c>
      <c r="J177" s="75" t="s">
        <v>849</v>
      </c>
      <c r="K177" s="75"/>
      <c r="L177" s="75"/>
      <c r="M177" s="75"/>
      <c r="N177" s="75" t="s">
        <v>870</v>
      </c>
      <c r="O177" s="75"/>
      <c r="P177" s="75"/>
      <c r="Q177" s="75"/>
      <c r="R177" s="75"/>
      <c r="S177" s="75"/>
      <c r="T177" s="75"/>
      <c r="U177" s="75"/>
      <c r="V177" s="75"/>
      <c r="W177" s="74">
        <v>0.05</v>
      </c>
      <c r="X177" s="75" t="s">
        <v>824</v>
      </c>
      <c r="Y177" s="74">
        <v>0.02</v>
      </c>
      <c r="Z177" s="75"/>
      <c r="AA177" s="74">
        <v>0.05</v>
      </c>
      <c r="AB177" s="75" t="s">
        <v>849</v>
      </c>
      <c r="AC177" s="76">
        <v>0.05</v>
      </c>
      <c r="AD177" s="76" t="s">
        <v>824</v>
      </c>
      <c r="AE177" s="76">
        <v>0.03</v>
      </c>
      <c r="AF177" s="75" t="s">
        <v>824</v>
      </c>
      <c r="AG177" s="79">
        <v>0</v>
      </c>
      <c r="AH177" s="78">
        <v>0</v>
      </c>
      <c r="AI177" s="79">
        <v>0</v>
      </c>
      <c r="AJ177" s="78">
        <v>0</v>
      </c>
      <c r="AK177" s="79">
        <v>0.11</v>
      </c>
      <c r="AL177" s="79">
        <v>3.5000000000000003E-2</v>
      </c>
      <c r="AM177" s="80" t="str">
        <f t="shared" si="4"/>
        <v>12.08000,11</v>
      </c>
      <c r="AN177" t="str">
        <f t="shared" si="5"/>
        <v>12.08000,035</v>
      </c>
    </row>
    <row r="178" spans="2:40" ht="18" customHeight="1">
      <c r="B178" s="71">
        <v>173</v>
      </c>
      <c r="C178" s="81" t="s">
        <v>454</v>
      </c>
      <c r="D178" s="71" t="s">
        <v>1085</v>
      </c>
      <c r="E178" s="82" t="s">
        <v>1086</v>
      </c>
      <c r="F178" s="85" t="s">
        <v>838</v>
      </c>
      <c r="G178" s="74">
        <v>0.05</v>
      </c>
      <c r="H178" s="74" t="s">
        <v>824</v>
      </c>
      <c r="I178" s="74">
        <v>0.05</v>
      </c>
      <c r="J178" s="75" t="s">
        <v>849</v>
      </c>
      <c r="K178" s="75"/>
      <c r="L178" s="75"/>
      <c r="M178" s="75"/>
      <c r="N178" s="75" t="s">
        <v>870</v>
      </c>
      <c r="O178" s="75"/>
      <c r="P178" s="75"/>
      <c r="Q178" s="75"/>
      <c r="R178" s="75"/>
      <c r="S178" s="75"/>
      <c r="T178" s="75"/>
      <c r="U178" s="75"/>
      <c r="V178" s="75"/>
      <c r="W178" s="74">
        <v>0.05</v>
      </c>
      <c r="X178" s="75" t="s">
        <v>824</v>
      </c>
      <c r="Y178" s="74">
        <v>0.05</v>
      </c>
      <c r="Z178" s="75"/>
      <c r="AA178" s="74">
        <v>0.05</v>
      </c>
      <c r="AB178" s="75" t="s">
        <v>824</v>
      </c>
      <c r="AC178" s="76">
        <v>0.05</v>
      </c>
      <c r="AD178" s="76" t="s">
        <v>824</v>
      </c>
      <c r="AE178" s="76">
        <v>0.05</v>
      </c>
      <c r="AF178" s="75" t="s">
        <v>824</v>
      </c>
      <c r="AG178" s="79">
        <v>0</v>
      </c>
      <c r="AH178" s="78">
        <v>0</v>
      </c>
      <c r="AI178" s="79">
        <v>0</v>
      </c>
      <c r="AJ178" s="78">
        <v>0</v>
      </c>
      <c r="AK178" s="79">
        <v>0</v>
      </c>
      <c r="AL178" s="79">
        <v>0</v>
      </c>
      <c r="AM178" s="80" t="str">
        <f t="shared" si="4"/>
        <v>12.09000</v>
      </c>
      <c r="AN178" t="str">
        <f t="shared" si="5"/>
        <v>12.09000</v>
      </c>
    </row>
    <row r="179" spans="2:40" ht="18" customHeight="1">
      <c r="B179" s="71">
        <v>174</v>
      </c>
      <c r="C179" s="81" t="s">
        <v>457</v>
      </c>
      <c r="D179" s="71" t="s">
        <v>1087</v>
      </c>
      <c r="E179" s="82" t="s">
        <v>1088</v>
      </c>
      <c r="F179" s="85" t="s">
        <v>838</v>
      </c>
      <c r="G179" s="74">
        <v>0.05</v>
      </c>
      <c r="H179" s="74" t="s">
        <v>824</v>
      </c>
      <c r="I179" s="74">
        <v>0.05</v>
      </c>
      <c r="J179" s="75" t="s">
        <v>849</v>
      </c>
      <c r="K179" s="75"/>
      <c r="L179" s="75"/>
      <c r="M179" s="75"/>
      <c r="N179" s="75" t="s">
        <v>870</v>
      </c>
      <c r="O179" s="75"/>
      <c r="P179" s="75"/>
      <c r="Q179" s="75"/>
      <c r="R179" s="75"/>
      <c r="S179" s="75"/>
      <c r="T179" s="75"/>
      <c r="U179" s="75"/>
      <c r="V179" s="75"/>
      <c r="W179" s="74">
        <v>0.05</v>
      </c>
      <c r="X179" s="75" t="s">
        <v>824</v>
      </c>
      <c r="Y179" s="74">
        <v>0.05</v>
      </c>
      <c r="Z179" s="75"/>
      <c r="AA179" s="74">
        <v>0.05</v>
      </c>
      <c r="AB179" s="75" t="s">
        <v>824</v>
      </c>
      <c r="AC179" s="76">
        <v>0.05</v>
      </c>
      <c r="AD179" s="76" t="s">
        <v>824</v>
      </c>
      <c r="AE179" s="76">
        <v>0.05</v>
      </c>
      <c r="AF179" s="75" t="s">
        <v>824</v>
      </c>
      <c r="AG179" s="79">
        <v>0</v>
      </c>
      <c r="AH179" s="78">
        <v>0</v>
      </c>
      <c r="AI179" s="79">
        <v>0</v>
      </c>
      <c r="AJ179" s="78">
        <v>0</v>
      </c>
      <c r="AK179" s="79">
        <v>0</v>
      </c>
      <c r="AL179" s="79">
        <v>0</v>
      </c>
      <c r="AM179" s="80" t="str">
        <f t="shared" si="4"/>
        <v>12.10000</v>
      </c>
      <c r="AN179" t="str">
        <f t="shared" si="5"/>
        <v>12.10000</v>
      </c>
    </row>
    <row r="180" spans="2:40" ht="18" customHeight="1">
      <c r="B180" s="71">
        <v>175</v>
      </c>
      <c r="C180" s="81" t="s">
        <v>460</v>
      </c>
      <c r="D180" s="71" t="s">
        <v>1089</v>
      </c>
      <c r="E180" s="82" t="s">
        <v>1090</v>
      </c>
      <c r="F180" s="85" t="s">
        <v>838</v>
      </c>
      <c r="G180" s="74">
        <v>0.02</v>
      </c>
      <c r="H180" s="74" t="s">
        <v>824</v>
      </c>
      <c r="I180" s="74">
        <v>0.05</v>
      </c>
      <c r="J180" s="75" t="s">
        <v>849</v>
      </c>
      <c r="K180" s="75"/>
      <c r="L180" s="75"/>
      <c r="M180" s="75"/>
      <c r="N180" s="75" t="s">
        <v>870</v>
      </c>
      <c r="O180" s="75"/>
      <c r="P180" s="75"/>
      <c r="Q180" s="75"/>
      <c r="R180" s="75"/>
      <c r="S180" s="75"/>
      <c r="T180" s="75"/>
      <c r="U180" s="75"/>
      <c r="V180" s="75"/>
      <c r="W180" s="74">
        <v>0.05</v>
      </c>
      <c r="X180" s="75" t="s">
        <v>824</v>
      </c>
      <c r="Y180" s="74">
        <v>0.05</v>
      </c>
      <c r="Z180" s="75"/>
      <c r="AA180" s="74">
        <v>0.05</v>
      </c>
      <c r="AB180" s="75" t="s">
        <v>824</v>
      </c>
      <c r="AC180" s="76">
        <v>0.05</v>
      </c>
      <c r="AD180" s="76" t="s">
        <v>824</v>
      </c>
      <c r="AE180" s="76">
        <v>0.02</v>
      </c>
      <c r="AF180" s="75" t="s">
        <v>824</v>
      </c>
      <c r="AG180" s="79">
        <v>0</v>
      </c>
      <c r="AH180" s="78">
        <v>0</v>
      </c>
      <c r="AI180" s="79">
        <v>0</v>
      </c>
      <c r="AJ180" s="78">
        <v>0</v>
      </c>
      <c r="AK180" s="79">
        <v>0</v>
      </c>
      <c r="AL180" s="79">
        <v>0</v>
      </c>
      <c r="AM180" s="80" t="str">
        <f t="shared" si="4"/>
        <v>12.11000</v>
      </c>
      <c r="AN180" t="str">
        <f t="shared" si="5"/>
        <v>12.11000</v>
      </c>
    </row>
    <row r="181" spans="2:40" ht="18" customHeight="1">
      <c r="B181" s="71">
        <v>176</v>
      </c>
      <c r="C181" s="81" t="s">
        <v>463</v>
      </c>
      <c r="D181" s="71" t="s">
        <v>1091</v>
      </c>
      <c r="E181" s="82" t="s">
        <v>1092</v>
      </c>
      <c r="F181" s="85" t="s">
        <v>838</v>
      </c>
      <c r="G181" s="74">
        <v>0.05</v>
      </c>
      <c r="H181" s="74" t="s">
        <v>824</v>
      </c>
      <c r="I181" s="74">
        <v>0.05</v>
      </c>
      <c r="J181" s="75" t="s">
        <v>849</v>
      </c>
      <c r="K181" s="75"/>
      <c r="L181" s="75"/>
      <c r="M181" s="75"/>
      <c r="N181" s="75" t="s">
        <v>870</v>
      </c>
      <c r="O181" s="75"/>
      <c r="P181" s="75"/>
      <c r="Q181" s="75"/>
      <c r="R181" s="75"/>
      <c r="S181" s="75"/>
      <c r="T181" s="75"/>
      <c r="U181" s="75"/>
      <c r="V181" s="75"/>
      <c r="W181" s="74">
        <v>0.05</v>
      </c>
      <c r="X181" s="75" t="s">
        <v>824</v>
      </c>
      <c r="Y181" s="74">
        <v>0.05</v>
      </c>
      <c r="Z181" s="75"/>
      <c r="AA181" s="74">
        <v>0.05</v>
      </c>
      <c r="AB181" s="75" t="s">
        <v>824</v>
      </c>
      <c r="AC181" s="76">
        <v>0.05</v>
      </c>
      <c r="AD181" s="76" t="s">
        <v>824</v>
      </c>
      <c r="AE181" s="76">
        <v>0.02</v>
      </c>
      <c r="AF181" s="75" t="s">
        <v>824</v>
      </c>
      <c r="AG181" s="79">
        <v>0</v>
      </c>
      <c r="AH181" s="78">
        <v>0</v>
      </c>
      <c r="AI181" s="79">
        <v>0</v>
      </c>
      <c r="AJ181" s="78">
        <v>0</v>
      </c>
      <c r="AK181" s="79">
        <v>0</v>
      </c>
      <c r="AL181" s="79">
        <v>0</v>
      </c>
      <c r="AM181" s="80" t="str">
        <f t="shared" si="4"/>
        <v>12.12000</v>
      </c>
      <c r="AN181" t="str">
        <f t="shared" si="5"/>
        <v>12.12000</v>
      </c>
    </row>
    <row r="182" spans="2:40" ht="18" customHeight="1">
      <c r="B182" s="71">
        <v>177</v>
      </c>
      <c r="C182" s="81" t="s">
        <v>466</v>
      </c>
      <c r="D182" s="71" t="s">
        <v>1093</v>
      </c>
      <c r="E182" s="82" t="s">
        <v>1094</v>
      </c>
      <c r="F182" s="85" t="s">
        <v>838</v>
      </c>
      <c r="G182" s="74">
        <v>0.02</v>
      </c>
      <c r="H182" s="74" t="s">
        <v>824</v>
      </c>
      <c r="I182" s="74">
        <v>0.05</v>
      </c>
      <c r="J182" s="75" t="s">
        <v>824</v>
      </c>
      <c r="K182" s="91"/>
      <c r="L182" s="91"/>
      <c r="M182" s="91"/>
      <c r="N182" s="91" t="s">
        <v>870</v>
      </c>
      <c r="O182" s="91"/>
      <c r="P182" s="91"/>
      <c r="Q182" s="91"/>
      <c r="R182" s="91"/>
      <c r="S182" s="91"/>
      <c r="T182" s="91"/>
      <c r="U182" s="91"/>
      <c r="V182" s="91"/>
      <c r="W182" s="74">
        <v>0.05</v>
      </c>
      <c r="X182" s="75" t="s">
        <v>824</v>
      </c>
      <c r="Y182" s="74">
        <v>0.05</v>
      </c>
      <c r="Z182" s="91"/>
      <c r="AA182" s="74">
        <v>0.05</v>
      </c>
      <c r="AB182" s="75" t="s">
        <v>849</v>
      </c>
      <c r="AC182" s="76">
        <v>0.02</v>
      </c>
      <c r="AD182" s="76" t="s">
        <v>824</v>
      </c>
      <c r="AE182" s="76">
        <v>0.02</v>
      </c>
      <c r="AF182" s="75" t="s">
        <v>824</v>
      </c>
      <c r="AG182" s="79">
        <v>0</v>
      </c>
      <c r="AH182" s="78">
        <v>0</v>
      </c>
      <c r="AI182" s="79">
        <v>0</v>
      </c>
      <c r="AJ182" s="78">
        <v>0</v>
      </c>
      <c r="AK182" s="79">
        <v>0</v>
      </c>
      <c r="AL182" s="79">
        <v>0</v>
      </c>
      <c r="AM182" s="80" t="str">
        <f t="shared" si="4"/>
        <v>12.13000</v>
      </c>
      <c r="AN182" t="str">
        <f t="shared" si="5"/>
        <v>12.13000</v>
      </c>
    </row>
    <row r="183" spans="2:40" ht="18" customHeight="1">
      <c r="B183" s="71">
        <v>178</v>
      </c>
      <c r="C183" s="81" t="s">
        <v>470</v>
      </c>
      <c r="D183" s="71" t="s">
        <v>1095</v>
      </c>
      <c r="E183" s="82" t="s">
        <v>1096</v>
      </c>
      <c r="F183" s="85" t="s">
        <v>838</v>
      </c>
      <c r="G183" s="74">
        <v>0.05</v>
      </c>
      <c r="H183" s="74" t="s">
        <v>824</v>
      </c>
      <c r="I183" s="74">
        <v>0.05</v>
      </c>
      <c r="J183" s="75" t="s">
        <v>849</v>
      </c>
      <c r="K183" s="75"/>
      <c r="L183" s="75"/>
      <c r="M183" s="75"/>
      <c r="N183" s="75" t="s">
        <v>870</v>
      </c>
      <c r="O183" s="75"/>
      <c r="P183" s="75"/>
      <c r="Q183" s="75"/>
      <c r="R183" s="75"/>
      <c r="S183" s="75"/>
      <c r="T183" s="75"/>
      <c r="U183" s="75"/>
      <c r="V183" s="75"/>
      <c r="W183" s="74">
        <v>0.05</v>
      </c>
      <c r="X183" s="75" t="s">
        <v>824</v>
      </c>
      <c r="Y183" s="74">
        <v>0.05</v>
      </c>
      <c r="Z183" s="75"/>
      <c r="AA183" s="74">
        <v>0.05</v>
      </c>
      <c r="AB183" s="75" t="s">
        <v>824</v>
      </c>
      <c r="AC183" s="76">
        <v>0.05</v>
      </c>
      <c r="AD183" s="76" t="s">
        <v>824</v>
      </c>
      <c r="AE183" s="76">
        <v>0.02</v>
      </c>
      <c r="AF183" s="75" t="s">
        <v>824</v>
      </c>
      <c r="AG183" s="79">
        <v>0</v>
      </c>
      <c r="AH183" s="78">
        <v>0</v>
      </c>
      <c r="AI183" s="79">
        <v>0</v>
      </c>
      <c r="AJ183" s="78">
        <v>0</v>
      </c>
      <c r="AK183" s="79">
        <v>0</v>
      </c>
      <c r="AL183" s="79">
        <v>0</v>
      </c>
      <c r="AM183" s="80" t="str">
        <f t="shared" si="4"/>
        <v>12.14000</v>
      </c>
      <c r="AN183" t="str">
        <f t="shared" si="5"/>
        <v>12.14000</v>
      </c>
    </row>
    <row r="184" spans="2:40" ht="18" customHeight="1">
      <c r="B184" s="71">
        <v>179</v>
      </c>
      <c r="C184" s="81" t="s">
        <v>473</v>
      </c>
      <c r="D184" s="71" t="s">
        <v>1097</v>
      </c>
      <c r="E184" s="82" t="s">
        <v>1098</v>
      </c>
      <c r="F184" s="85" t="s">
        <v>838</v>
      </c>
      <c r="G184" s="74">
        <v>0.05</v>
      </c>
      <c r="H184" s="74" t="s">
        <v>824</v>
      </c>
      <c r="I184" s="74">
        <v>0.05</v>
      </c>
      <c r="J184" s="75" t="s">
        <v>849</v>
      </c>
      <c r="K184" s="75"/>
      <c r="L184" s="75"/>
      <c r="M184" s="75"/>
      <c r="N184" s="75" t="s">
        <v>870</v>
      </c>
      <c r="O184" s="75"/>
      <c r="P184" s="75"/>
      <c r="Q184" s="75"/>
      <c r="R184" s="75"/>
      <c r="S184" s="75"/>
      <c r="T184" s="75"/>
      <c r="U184" s="75"/>
      <c r="V184" s="75"/>
      <c r="W184" s="74">
        <v>0.05</v>
      </c>
      <c r="X184" s="75" t="s">
        <v>824</v>
      </c>
      <c r="Y184" s="74">
        <v>0.05</v>
      </c>
      <c r="Z184" s="75"/>
      <c r="AA184" s="74">
        <v>0.05</v>
      </c>
      <c r="AB184" s="75" t="s">
        <v>824</v>
      </c>
      <c r="AC184" s="76">
        <v>0.02</v>
      </c>
      <c r="AD184" s="76" t="s">
        <v>824</v>
      </c>
      <c r="AE184" s="76">
        <v>0.02</v>
      </c>
      <c r="AF184" s="75" t="s">
        <v>824</v>
      </c>
      <c r="AG184" s="79">
        <v>0</v>
      </c>
      <c r="AH184" s="78">
        <v>0</v>
      </c>
      <c r="AI184" s="79">
        <v>0</v>
      </c>
      <c r="AJ184" s="78">
        <v>0</v>
      </c>
      <c r="AK184" s="79">
        <v>0</v>
      </c>
      <c r="AL184" s="79">
        <v>0</v>
      </c>
      <c r="AM184" s="80" t="str">
        <f t="shared" si="4"/>
        <v>12.15000</v>
      </c>
      <c r="AN184" t="str">
        <f t="shared" si="5"/>
        <v>12.15000</v>
      </c>
    </row>
    <row r="185" spans="2:40" ht="18" customHeight="1">
      <c r="B185" s="71">
        <v>180</v>
      </c>
      <c r="C185" s="81" t="s">
        <v>476</v>
      </c>
      <c r="D185" s="71" t="s">
        <v>1099</v>
      </c>
      <c r="E185" s="82" t="s">
        <v>1100</v>
      </c>
      <c r="F185" s="85" t="s">
        <v>838</v>
      </c>
      <c r="G185" s="74">
        <v>0.05</v>
      </c>
      <c r="H185" s="74" t="s">
        <v>824</v>
      </c>
      <c r="I185" s="74">
        <v>0.05</v>
      </c>
      <c r="J185" s="75" t="s">
        <v>849</v>
      </c>
      <c r="K185" s="75"/>
      <c r="L185" s="75"/>
      <c r="M185" s="75"/>
      <c r="N185" s="75" t="s">
        <v>870</v>
      </c>
      <c r="O185" s="75"/>
      <c r="P185" s="75"/>
      <c r="Q185" s="75"/>
      <c r="R185" s="75"/>
      <c r="S185" s="75"/>
      <c r="T185" s="75"/>
      <c r="U185" s="75"/>
      <c r="V185" s="75"/>
      <c r="W185" s="74">
        <v>0.05</v>
      </c>
      <c r="X185" s="75" t="s">
        <v>824</v>
      </c>
      <c r="Y185" s="74">
        <v>0.05</v>
      </c>
      <c r="Z185" s="75"/>
      <c r="AA185" s="74">
        <v>0.05</v>
      </c>
      <c r="AB185" s="75" t="s">
        <v>824</v>
      </c>
      <c r="AC185" s="76">
        <v>0.05</v>
      </c>
      <c r="AD185" s="76" t="s">
        <v>824</v>
      </c>
      <c r="AE185" s="76">
        <v>0.03</v>
      </c>
      <c r="AF185" s="75" t="s">
        <v>824</v>
      </c>
      <c r="AG185" s="79">
        <v>0</v>
      </c>
      <c r="AH185" s="78">
        <v>0</v>
      </c>
      <c r="AI185" s="79">
        <v>0</v>
      </c>
      <c r="AJ185" s="78">
        <v>0</v>
      </c>
      <c r="AK185" s="79">
        <v>0</v>
      </c>
      <c r="AL185" s="79">
        <v>0</v>
      </c>
      <c r="AM185" s="80" t="str">
        <f t="shared" si="4"/>
        <v>12.16000</v>
      </c>
      <c r="AN185" t="str">
        <f t="shared" si="5"/>
        <v>12.16000</v>
      </c>
    </row>
    <row r="186" spans="2:40" ht="18" customHeight="1">
      <c r="B186" s="71">
        <v>181</v>
      </c>
      <c r="C186" s="81" t="s">
        <v>479</v>
      </c>
      <c r="D186" s="71" t="s">
        <v>1101</v>
      </c>
      <c r="E186" s="82" t="s">
        <v>1102</v>
      </c>
      <c r="F186" s="85" t="s">
        <v>838</v>
      </c>
      <c r="G186" s="74">
        <v>0.05</v>
      </c>
      <c r="H186" s="74" t="s">
        <v>824</v>
      </c>
      <c r="I186" s="74">
        <v>0.05</v>
      </c>
      <c r="J186" s="75" t="s">
        <v>849</v>
      </c>
      <c r="K186" s="75"/>
      <c r="L186" s="75"/>
      <c r="M186" s="75"/>
      <c r="N186" s="75" t="s">
        <v>870</v>
      </c>
      <c r="O186" s="75"/>
      <c r="P186" s="75"/>
      <c r="Q186" s="75"/>
      <c r="R186" s="75"/>
      <c r="S186" s="75"/>
      <c r="T186" s="75"/>
      <c r="U186" s="75"/>
      <c r="V186" s="75"/>
      <c r="W186" s="74">
        <v>0.05</v>
      </c>
      <c r="X186" s="75" t="s">
        <v>824</v>
      </c>
      <c r="Y186" s="74">
        <v>0.05</v>
      </c>
      <c r="Z186" s="75"/>
      <c r="AA186" s="74">
        <v>0.05</v>
      </c>
      <c r="AB186" s="75" t="s">
        <v>824</v>
      </c>
      <c r="AC186" s="76">
        <v>0.05</v>
      </c>
      <c r="AD186" s="76" t="s">
        <v>824</v>
      </c>
      <c r="AE186" s="76">
        <v>0.02</v>
      </c>
      <c r="AF186" s="75" t="s">
        <v>824</v>
      </c>
      <c r="AG186" s="79">
        <v>0</v>
      </c>
      <c r="AH186" s="78">
        <v>0</v>
      </c>
      <c r="AI186" s="79">
        <v>0</v>
      </c>
      <c r="AJ186" s="78">
        <v>0</v>
      </c>
      <c r="AK186" s="79">
        <v>0</v>
      </c>
      <c r="AL186" s="79">
        <v>0</v>
      </c>
      <c r="AM186" s="80" t="str">
        <f t="shared" si="4"/>
        <v>12.17000</v>
      </c>
      <c r="AN186" t="str">
        <f t="shared" si="5"/>
        <v>12.17000</v>
      </c>
    </row>
    <row r="187" spans="2:40" ht="18" customHeight="1">
      <c r="B187" s="71">
        <v>182</v>
      </c>
      <c r="C187" s="81" t="s">
        <v>482</v>
      </c>
      <c r="D187" s="71" t="s">
        <v>1103</v>
      </c>
      <c r="E187" s="82" t="s">
        <v>1104</v>
      </c>
      <c r="F187" s="85" t="s">
        <v>838</v>
      </c>
      <c r="G187" s="74">
        <v>0.05</v>
      </c>
      <c r="H187" s="74" t="s">
        <v>824</v>
      </c>
      <c r="I187" s="74">
        <v>0.05</v>
      </c>
      <c r="J187" s="75" t="s">
        <v>824</v>
      </c>
      <c r="K187" s="75"/>
      <c r="L187" s="75"/>
      <c r="M187" s="75"/>
      <c r="N187" s="75"/>
      <c r="O187" s="75"/>
      <c r="P187" s="75"/>
      <c r="Q187" s="75"/>
      <c r="R187" s="75"/>
      <c r="S187" s="75"/>
      <c r="T187" s="75"/>
      <c r="U187" s="75"/>
      <c r="V187" s="75"/>
      <c r="W187" s="74">
        <v>0.05</v>
      </c>
      <c r="X187" s="75" t="s">
        <v>824</v>
      </c>
      <c r="Y187" s="74">
        <v>0.05</v>
      </c>
      <c r="Z187" s="75"/>
      <c r="AA187" s="74">
        <v>0.05</v>
      </c>
      <c r="AB187" s="75" t="s">
        <v>824</v>
      </c>
      <c r="AC187" s="76">
        <v>0.02</v>
      </c>
      <c r="AD187" s="76" t="s">
        <v>824</v>
      </c>
      <c r="AE187" s="76">
        <v>0.02</v>
      </c>
      <c r="AF187" s="75" t="s">
        <v>824</v>
      </c>
      <c r="AG187" s="79">
        <v>0</v>
      </c>
      <c r="AH187" s="78">
        <v>0</v>
      </c>
      <c r="AI187" s="79">
        <v>0</v>
      </c>
      <c r="AJ187" s="78">
        <v>0</v>
      </c>
      <c r="AK187" s="79">
        <v>0</v>
      </c>
      <c r="AL187" s="79">
        <v>0</v>
      </c>
      <c r="AM187" s="80" t="str">
        <f t="shared" si="4"/>
        <v>13.02000</v>
      </c>
      <c r="AN187" t="str">
        <f t="shared" si="5"/>
        <v>13.02000</v>
      </c>
    </row>
    <row r="188" spans="2:40" ht="18" customHeight="1">
      <c r="B188" s="71">
        <v>183</v>
      </c>
      <c r="C188" s="81" t="s">
        <v>485</v>
      </c>
      <c r="D188" s="71" t="s">
        <v>1105</v>
      </c>
      <c r="E188" s="82" t="s">
        <v>1106</v>
      </c>
      <c r="F188" s="85" t="s">
        <v>838</v>
      </c>
      <c r="G188" s="74">
        <v>0.05</v>
      </c>
      <c r="H188" s="74" t="s">
        <v>824</v>
      </c>
      <c r="I188" s="74">
        <v>0.05</v>
      </c>
      <c r="J188" s="75" t="s">
        <v>824</v>
      </c>
      <c r="K188" s="75"/>
      <c r="L188" s="75"/>
      <c r="M188" s="75"/>
      <c r="N188" s="75"/>
      <c r="O188" s="75"/>
      <c r="P188" s="75"/>
      <c r="Q188" s="75"/>
      <c r="R188" s="75"/>
      <c r="S188" s="75"/>
      <c r="T188" s="75"/>
      <c r="U188" s="75"/>
      <c r="V188" s="75"/>
      <c r="W188" s="74">
        <v>2.01E-2</v>
      </c>
      <c r="X188" s="75" t="s">
        <v>849</v>
      </c>
      <c r="Y188" s="74">
        <v>0.05</v>
      </c>
      <c r="Z188" s="75"/>
      <c r="AA188" s="74">
        <v>0.05</v>
      </c>
      <c r="AB188" s="75" t="s">
        <v>824</v>
      </c>
      <c r="AC188" s="76">
        <v>0.02</v>
      </c>
      <c r="AD188" s="76" t="s">
        <v>824</v>
      </c>
      <c r="AE188" s="76">
        <v>0.02</v>
      </c>
      <c r="AF188" s="75" t="s">
        <v>824</v>
      </c>
      <c r="AG188" s="79">
        <v>0</v>
      </c>
      <c r="AH188" s="78">
        <v>0</v>
      </c>
      <c r="AI188" s="79">
        <v>0</v>
      </c>
      <c r="AJ188" s="78">
        <v>0</v>
      </c>
      <c r="AK188" s="79">
        <v>0</v>
      </c>
      <c r="AL188" s="79">
        <v>0</v>
      </c>
      <c r="AM188" s="80" t="str">
        <f t="shared" si="4"/>
        <v>13.03000</v>
      </c>
      <c r="AN188" t="str">
        <f t="shared" si="5"/>
        <v>13.03000</v>
      </c>
    </row>
    <row r="189" spans="2:40" ht="18" customHeight="1">
      <c r="B189" s="71">
        <v>184</v>
      </c>
      <c r="C189" s="81" t="s">
        <v>488</v>
      </c>
      <c r="D189" s="71" t="s">
        <v>1107</v>
      </c>
      <c r="E189" s="82" t="s">
        <v>1108</v>
      </c>
      <c r="F189" s="85" t="s">
        <v>838</v>
      </c>
      <c r="G189" s="74">
        <v>0.05</v>
      </c>
      <c r="H189" s="74" t="s">
        <v>824</v>
      </c>
      <c r="I189" s="74">
        <v>0.05</v>
      </c>
      <c r="J189" s="75" t="s">
        <v>824</v>
      </c>
      <c r="K189" s="75"/>
      <c r="L189" s="75"/>
      <c r="M189" s="75"/>
      <c r="N189" s="75"/>
      <c r="O189" s="75"/>
      <c r="P189" s="75"/>
      <c r="Q189" s="75"/>
      <c r="R189" s="75"/>
      <c r="S189" s="75"/>
      <c r="T189" s="75"/>
      <c r="U189" s="75"/>
      <c r="V189" s="75"/>
      <c r="W189" s="74">
        <v>0.05</v>
      </c>
      <c r="X189" s="75" t="s">
        <v>849</v>
      </c>
      <c r="Y189" s="74">
        <v>0.05</v>
      </c>
      <c r="Z189" s="75"/>
      <c r="AA189" s="74">
        <v>0.05</v>
      </c>
      <c r="AB189" s="75" t="s">
        <v>824</v>
      </c>
      <c r="AC189" s="76">
        <v>0.02</v>
      </c>
      <c r="AD189" s="76" t="s">
        <v>824</v>
      </c>
      <c r="AE189" s="76">
        <v>0.02</v>
      </c>
      <c r="AF189" s="75" t="s">
        <v>824</v>
      </c>
      <c r="AG189" s="79">
        <v>0</v>
      </c>
      <c r="AH189" s="78">
        <v>0</v>
      </c>
      <c r="AI189" s="79">
        <v>0</v>
      </c>
      <c r="AJ189" s="78">
        <v>0</v>
      </c>
      <c r="AK189" s="79">
        <v>0</v>
      </c>
      <c r="AL189" s="79">
        <v>0</v>
      </c>
      <c r="AM189" s="80" t="str">
        <f t="shared" si="4"/>
        <v>13.04000</v>
      </c>
      <c r="AN189" t="str">
        <f t="shared" si="5"/>
        <v>13.04000</v>
      </c>
    </row>
    <row r="190" spans="2:40" ht="18" customHeight="1">
      <c r="B190" s="71">
        <v>185</v>
      </c>
      <c r="C190" s="81" t="s">
        <v>491</v>
      </c>
      <c r="D190" s="71" t="s">
        <v>1109</v>
      </c>
      <c r="E190" s="82" t="s">
        <v>1110</v>
      </c>
      <c r="F190" s="85" t="s">
        <v>838</v>
      </c>
      <c r="G190" s="74">
        <v>2.5000000000000001E-2</v>
      </c>
      <c r="H190" s="74" t="s">
        <v>824</v>
      </c>
      <c r="I190" s="74">
        <v>0.02</v>
      </c>
      <c r="J190" s="75" t="s">
        <v>824</v>
      </c>
      <c r="K190" s="75"/>
      <c r="L190" s="75"/>
      <c r="M190" s="75"/>
      <c r="N190" s="75"/>
      <c r="O190" s="75"/>
      <c r="P190" s="75"/>
      <c r="Q190" s="75"/>
      <c r="R190" s="75"/>
      <c r="S190" s="75"/>
      <c r="T190" s="75"/>
      <c r="U190" s="75"/>
      <c r="V190" s="75"/>
      <c r="W190" s="74">
        <v>0.02</v>
      </c>
      <c r="X190" s="75" t="s">
        <v>849</v>
      </c>
      <c r="Y190" s="74">
        <v>0.05</v>
      </c>
      <c r="Z190" s="75"/>
      <c r="AA190" s="74">
        <v>0.02</v>
      </c>
      <c r="AB190" s="75" t="s">
        <v>849</v>
      </c>
      <c r="AC190" s="76">
        <v>0.02</v>
      </c>
      <c r="AD190" s="76" t="s">
        <v>824</v>
      </c>
      <c r="AE190" s="76">
        <v>0.02</v>
      </c>
      <c r="AF190" s="75" t="s">
        <v>824</v>
      </c>
      <c r="AG190" s="79">
        <v>0</v>
      </c>
      <c r="AH190" s="78">
        <v>0</v>
      </c>
      <c r="AI190" s="79">
        <v>0</v>
      </c>
      <c r="AJ190" s="78">
        <v>0</v>
      </c>
      <c r="AK190" s="79">
        <v>0</v>
      </c>
      <c r="AL190" s="79">
        <v>0</v>
      </c>
      <c r="AM190" s="80" t="str">
        <f t="shared" si="4"/>
        <v>13.05000</v>
      </c>
      <c r="AN190" t="str">
        <f t="shared" si="5"/>
        <v>13.05000</v>
      </c>
    </row>
    <row r="191" spans="2:40" ht="18" customHeight="1">
      <c r="B191" s="71">
        <v>186</v>
      </c>
      <c r="C191" s="81" t="s">
        <v>494</v>
      </c>
      <c r="D191" s="71" t="s">
        <v>1111</v>
      </c>
      <c r="E191" s="82" t="s">
        <v>1112</v>
      </c>
      <c r="F191" s="85" t="s">
        <v>1113</v>
      </c>
      <c r="G191" s="74">
        <v>0.05</v>
      </c>
      <c r="H191" s="74" t="s">
        <v>824</v>
      </c>
      <c r="I191" s="74">
        <v>0.05</v>
      </c>
      <c r="J191" s="75" t="s">
        <v>1114</v>
      </c>
      <c r="K191" s="75"/>
      <c r="L191" s="75"/>
      <c r="M191" s="75"/>
      <c r="N191" s="75"/>
      <c r="O191" s="75"/>
      <c r="P191" s="75"/>
      <c r="Q191" s="75"/>
      <c r="R191" s="75"/>
      <c r="S191" s="75"/>
      <c r="T191" s="75"/>
      <c r="U191" s="75"/>
      <c r="V191" s="75"/>
      <c r="W191" s="74">
        <v>0.05</v>
      </c>
      <c r="X191" s="75" t="s">
        <v>849</v>
      </c>
      <c r="Y191" s="74">
        <v>0.05</v>
      </c>
      <c r="Z191" s="75"/>
      <c r="AA191" s="74">
        <v>0.05</v>
      </c>
      <c r="AB191" s="75" t="s">
        <v>824</v>
      </c>
      <c r="AC191" s="76">
        <v>0.05</v>
      </c>
      <c r="AD191" s="76" t="s">
        <v>824</v>
      </c>
      <c r="AE191" s="76">
        <v>0.02</v>
      </c>
      <c r="AF191" s="75" t="s">
        <v>824</v>
      </c>
      <c r="AG191" s="79">
        <v>0</v>
      </c>
      <c r="AH191" s="78">
        <v>0</v>
      </c>
      <c r="AI191" s="79">
        <v>4.65E-2</v>
      </c>
      <c r="AJ191" s="78">
        <v>5952</v>
      </c>
      <c r="AK191" s="79">
        <v>0</v>
      </c>
      <c r="AL191" s="79">
        <v>0</v>
      </c>
      <c r="AM191" s="80" t="str">
        <f t="shared" si="4"/>
        <v>14.0100,04650</v>
      </c>
      <c r="AN191" t="str">
        <f t="shared" si="5"/>
        <v>14.0100,04650</v>
      </c>
    </row>
    <row r="192" spans="2:40" ht="18" customHeight="1">
      <c r="B192" s="71">
        <v>187</v>
      </c>
      <c r="C192" s="81" t="s">
        <v>494</v>
      </c>
      <c r="D192" s="71" t="s">
        <v>1115</v>
      </c>
      <c r="E192" s="82" t="s">
        <v>1112</v>
      </c>
      <c r="F192" s="85" t="s">
        <v>1116</v>
      </c>
      <c r="G192" s="74">
        <v>0.05</v>
      </c>
      <c r="H192" s="74" t="s">
        <v>824</v>
      </c>
      <c r="I192" s="74">
        <v>0.05</v>
      </c>
      <c r="J192" s="75" t="s">
        <v>824</v>
      </c>
      <c r="K192" s="75"/>
      <c r="L192" s="75"/>
      <c r="M192" s="75"/>
      <c r="N192" s="75"/>
      <c r="O192" s="75"/>
      <c r="P192" s="75"/>
      <c r="Q192" s="75"/>
      <c r="R192" s="75"/>
      <c r="S192" s="75"/>
      <c r="T192" s="75"/>
      <c r="U192" s="75"/>
      <c r="V192" s="75"/>
      <c r="W192" s="74">
        <v>0.05</v>
      </c>
      <c r="X192" s="75" t="s">
        <v>849</v>
      </c>
      <c r="Y192" s="74">
        <v>0.05</v>
      </c>
      <c r="Z192" s="75"/>
      <c r="AA192" s="74">
        <v>0.05</v>
      </c>
      <c r="AB192" s="75" t="s">
        <v>824</v>
      </c>
      <c r="AC192" s="76">
        <v>0.05</v>
      </c>
      <c r="AD192" s="76" t="s">
        <v>824</v>
      </c>
      <c r="AE192" s="76">
        <v>0.02</v>
      </c>
      <c r="AF192" s="75" t="s">
        <v>824</v>
      </c>
      <c r="AG192" s="79">
        <v>0.01</v>
      </c>
      <c r="AH192" s="78">
        <v>1708</v>
      </c>
      <c r="AI192" s="79">
        <v>4.65E-2</v>
      </c>
      <c r="AJ192" s="78">
        <v>5952</v>
      </c>
      <c r="AK192" s="79">
        <v>0</v>
      </c>
      <c r="AL192" s="79">
        <v>0</v>
      </c>
      <c r="AM192" s="80" t="str">
        <f t="shared" si="4"/>
        <v>14.010,010,04650</v>
      </c>
      <c r="AN192" t="str">
        <f t="shared" si="5"/>
        <v>14.010,010,04650</v>
      </c>
    </row>
    <row r="193" spans="2:40" ht="18" customHeight="1">
      <c r="B193" s="71">
        <v>188</v>
      </c>
      <c r="C193" s="81" t="s">
        <v>494</v>
      </c>
      <c r="D193" s="71" t="s">
        <v>1117</v>
      </c>
      <c r="E193" s="82" t="s">
        <v>1112</v>
      </c>
      <c r="F193" s="85" t="s">
        <v>1118</v>
      </c>
      <c r="G193" s="74">
        <v>0.05</v>
      </c>
      <c r="H193" s="74" t="s">
        <v>824</v>
      </c>
      <c r="I193" s="74">
        <v>0.05</v>
      </c>
      <c r="J193" s="75" t="s">
        <v>824</v>
      </c>
      <c r="K193" s="75"/>
      <c r="L193" s="75"/>
      <c r="M193" s="75"/>
      <c r="N193" s="75"/>
      <c r="O193" s="75"/>
      <c r="P193" s="75"/>
      <c r="Q193" s="75"/>
      <c r="R193" s="75"/>
      <c r="S193" s="75"/>
      <c r="T193" s="75"/>
      <c r="U193" s="75"/>
      <c r="V193" s="75"/>
      <c r="W193" s="74">
        <v>0.05</v>
      </c>
      <c r="X193" s="75" t="s">
        <v>849</v>
      </c>
      <c r="Y193" s="74">
        <v>0.05</v>
      </c>
      <c r="Z193" s="75"/>
      <c r="AA193" s="74">
        <v>0.05</v>
      </c>
      <c r="AB193" s="75" t="s">
        <v>824</v>
      </c>
      <c r="AC193" s="76">
        <v>0.05</v>
      </c>
      <c r="AD193" s="76" t="s">
        <v>824</v>
      </c>
      <c r="AE193" s="76">
        <v>0.02</v>
      </c>
      <c r="AF193" s="75" t="s">
        <v>824</v>
      </c>
      <c r="AG193" s="79">
        <v>0</v>
      </c>
      <c r="AH193" s="78">
        <v>0</v>
      </c>
      <c r="AI193" s="79">
        <v>4.65E-2</v>
      </c>
      <c r="AJ193" s="78">
        <v>5952</v>
      </c>
      <c r="AK193" s="79">
        <v>0.11</v>
      </c>
      <c r="AL193" s="79">
        <v>3.5000000000000003E-2</v>
      </c>
      <c r="AM193" s="80" t="str">
        <f t="shared" si="4"/>
        <v>14.0100,04650,11</v>
      </c>
      <c r="AN193" t="str">
        <f t="shared" si="5"/>
        <v>14.0100,04650,035</v>
      </c>
    </row>
    <row r="194" spans="2:40" ht="18" customHeight="1">
      <c r="B194" s="71">
        <v>189</v>
      </c>
      <c r="C194" s="81" t="s">
        <v>494</v>
      </c>
      <c r="D194" s="71" t="s">
        <v>1119</v>
      </c>
      <c r="E194" s="82" t="s">
        <v>1112</v>
      </c>
      <c r="F194" s="85" t="s">
        <v>1120</v>
      </c>
      <c r="G194" s="74">
        <v>0.05</v>
      </c>
      <c r="H194" s="74" t="s">
        <v>824</v>
      </c>
      <c r="I194" s="74">
        <v>0.05</v>
      </c>
      <c r="J194" s="75" t="s">
        <v>824</v>
      </c>
      <c r="K194" s="75"/>
      <c r="L194" s="75"/>
      <c r="M194" s="75"/>
      <c r="N194" s="75"/>
      <c r="O194" s="75"/>
      <c r="P194" s="75"/>
      <c r="Q194" s="75"/>
      <c r="R194" s="75"/>
      <c r="S194" s="75"/>
      <c r="T194" s="75"/>
      <c r="U194" s="75"/>
      <c r="V194" s="75"/>
      <c r="W194" s="74">
        <v>0.05</v>
      </c>
      <c r="X194" s="75" t="s">
        <v>849</v>
      </c>
      <c r="Y194" s="74">
        <v>0.05</v>
      </c>
      <c r="Z194" s="75"/>
      <c r="AA194" s="74">
        <v>0.05</v>
      </c>
      <c r="AB194" s="75" t="s">
        <v>824</v>
      </c>
      <c r="AC194" s="76">
        <v>0.05</v>
      </c>
      <c r="AD194" s="76" t="s">
        <v>824</v>
      </c>
      <c r="AE194" s="76">
        <v>0.02</v>
      </c>
      <c r="AF194" s="75" t="s">
        <v>824</v>
      </c>
      <c r="AG194" s="79">
        <v>0.01</v>
      </c>
      <c r="AH194" s="78">
        <v>1708</v>
      </c>
      <c r="AI194" s="79">
        <v>4.65E-2</v>
      </c>
      <c r="AJ194" s="78">
        <v>5952</v>
      </c>
      <c r="AK194" s="79">
        <v>0.11</v>
      </c>
      <c r="AL194" s="79">
        <v>3.5000000000000003E-2</v>
      </c>
      <c r="AM194" s="80" t="str">
        <f t="shared" si="4"/>
        <v>14.010,010,04650,11</v>
      </c>
      <c r="AN194" t="str">
        <f t="shared" si="5"/>
        <v>14.010,010,04650,035</v>
      </c>
    </row>
    <row r="195" spans="2:40" ht="18" customHeight="1">
      <c r="B195" s="71">
        <v>190</v>
      </c>
      <c r="C195" s="81" t="s">
        <v>494</v>
      </c>
      <c r="D195" s="71" t="s">
        <v>1121</v>
      </c>
      <c r="E195" s="82" t="s">
        <v>1112</v>
      </c>
      <c r="F195" s="85" t="s">
        <v>1122</v>
      </c>
      <c r="G195" s="74">
        <v>0.05</v>
      </c>
      <c r="H195" s="74" t="s">
        <v>824</v>
      </c>
      <c r="I195" s="74">
        <v>0.05</v>
      </c>
      <c r="J195" s="75" t="s">
        <v>824</v>
      </c>
      <c r="K195" s="75"/>
      <c r="L195" s="75"/>
      <c r="M195" s="75"/>
      <c r="N195" s="75"/>
      <c r="O195" s="75"/>
      <c r="P195" s="75"/>
      <c r="Q195" s="75"/>
      <c r="R195" s="75"/>
      <c r="S195" s="75"/>
      <c r="T195" s="75"/>
      <c r="U195" s="75"/>
      <c r="V195" s="75"/>
      <c r="W195" s="74">
        <v>0.05</v>
      </c>
      <c r="X195" s="75" t="s">
        <v>849</v>
      </c>
      <c r="Y195" s="74">
        <v>0.05</v>
      </c>
      <c r="Z195" s="75"/>
      <c r="AA195" s="74">
        <v>0.05</v>
      </c>
      <c r="AB195" s="75" t="s">
        <v>824</v>
      </c>
      <c r="AC195" s="76">
        <v>0.05</v>
      </c>
      <c r="AD195" s="76" t="s">
        <v>824</v>
      </c>
      <c r="AE195" s="76">
        <v>0.02</v>
      </c>
      <c r="AF195" s="75" t="s">
        <v>824</v>
      </c>
      <c r="AG195" s="79">
        <v>0</v>
      </c>
      <c r="AH195" s="78">
        <v>0</v>
      </c>
      <c r="AI195" s="79">
        <v>0</v>
      </c>
      <c r="AJ195" s="78">
        <v>0</v>
      </c>
      <c r="AK195" s="79">
        <v>0</v>
      </c>
      <c r="AL195" s="79">
        <v>0</v>
      </c>
      <c r="AM195" s="80" t="str">
        <f t="shared" si="4"/>
        <v>14.01000</v>
      </c>
      <c r="AN195" t="str">
        <f t="shared" si="5"/>
        <v>14.01000</v>
      </c>
    </row>
    <row r="196" spans="2:40" ht="18" customHeight="1">
      <c r="B196" s="71">
        <v>191</v>
      </c>
      <c r="C196" s="81" t="s">
        <v>494</v>
      </c>
      <c r="D196" s="71" t="s">
        <v>1123</v>
      </c>
      <c r="E196" s="82" t="s">
        <v>1112</v>
      </c>
      <c r="F196" s="85" t="s">
        <v>1124</v>
      </c>
      <c r="G196" s="74">
        <v>0.05</v>
      </c>
      <c r="H196" s="74" t="s">
        <v>824</v>
      </c>
      <c r="I196" s="74">
        <v>0.05</v>
      </c>
      <c r="J196" s="75" t="s">
        <v>824</v>
      </c>
      <c r="K196" s="75"/>
      <c r="L196" s="75"/>
      <c r="M196" s="75"/>
      <c r="N196" s="75"/>
      <c r="O196" s="75"/>
      <c r="P196" s="75"/>
      <c r="Q196" s="75"/>
      <c r="R196" s="75"/>
      <c r="S196" s="75"/>
      <c r="T196" s="75"/>
      <c r="U196" s="75"/>
      <c r="V196" s="75"/>
      <c r="W196" s="74">
        <v>0.05</v>
      </c>
      <c r="X196" s="75" t="s">
        <v>849</v>
      </c>
      <c r="Y196" s="74">
        <v>0.05</v>
      </c>
      <c r="Z196" s="75"/>
      <c r="AA196" s="74">
        <v>0.05</v>
      </c>
      <c r="AB196" s="75" t="s">
        <v>824</v>
      </c>
      <c r="AC196" s="76">
        <v>0.05</v>
      </c>
      <c r="AD196" s="76" t="s">
        <v>824</v>
      </c>
      <c r="AE196" s="76">
        <v>0.02</v>
      </c>
      <c r="AF196" s="75" t="s">
        <v>824</v>
      </c>
      <c r="AG196" s="79">
        <v>0</v>
      </c>
      <c r="AH196" s="78">
        <v>0</v>
      </c>
      <c r="AI196" s="79">
        <v>0</v>
      </c>
      <c r="AJ196" s="78">
        <v>0</v>
      </c>
      <c r="AK196" s="79">
        <v>0.11</v>
      </c>
      <c r="AL196" s="79">
        <v>3.5000000000000003E-2</v>
      </c>
      <c r="AM196" s="80" t="str">
        <f t="shared" si="4"/>
        <v>14.01000,11</v>
      </c>
      <c r="AN196" t="str">
        <f t="shared" si="5"/>
        <v>14.01000,035</v>
      </c>
    </row>
    <row r="197" spans="2:40" ht="18" customHeight="1">
      <c r="B197" s="71">
        <v>192</v>
      </c>
      <c r="C197" s="81" t="s">
        <v>497</v>
      </c>
      <c r="D197" s="71" t="s">
        <v>1125</v>
      </c>
      <c r="E197" s="82" t="s">
        <v>1126</v>
      </c>
      <c r="F197" s="85" t="s">
        <v>838</v>
      </c>
      <c r="G197" s="74">
        <v>0.05</v>
      </c>
      <c r="H197" s="74" t="s">
        <v>824</v>
      </c>
      <c r="I197" s="74">
        <v>0.05</v>
      </c>
      <c r="J197" s="75" t="s">
        <v>824</v>
      </c>
      <c r="K197" s="75"/>
      <c r="L197" s="75"/>
      <c r="M197" s="75"/>
      <c r="N197" s="75"/>
      <c r="O197" s="75"/>
      <c r="P197" s="75"/>
      <c r="Q197" s="75"/>
      <c r="R197" s="75"/>
      <c r="S197" s="75"/>
      <c r="T197" s="75"/>
      <c r="U197" s="75"/>
      <c r="V197" s="75"/>
      <c r="W197" s="74">
        <v>0.05</v>
      </c>
      <c r="X197" s="75" t="s">
        <v>849</v>
      </c>
      <c r="Y197" s="74">
        <v>0.05</v>
      </c>
      <c r="Z197" s="75"/>
      <c r="AA197" s="74">
        <v>0.05</v>
      </c>
      <c r="AB197" s="75" t="s">
        <v>824</v>
      </c>
      <c r="AC197" s="76">
        <v>0.05</v>
      </c>
      <c r="AD197" s="76" t="s">
        <v>824</v>
      </c>
      <c r="AE197" s="76">
        <v>0.02</v>
      </c>
      <c r="AF197" s="75" t="s">
        <v>824</v>
      </c>
      <c r="AG197" s="79">
        <v>0</v>
      </c>
      <c r="AH197" s="77">
        <v>0</v>
      </c>
      <c r="AI197" s="79">
        <v>0</v>
      </c>
      <c r="AJ197" s="77">
        <v>0</v>
      </c>
      <c r="AK197" s="79">
        <v>0</v>
      </c>
      <c r="AL197" s="79">
        <v>0</v>
      </c>
      <c r="AM197" s="80" t="str">
        <f t="shared" si="4"/>
        <v>14.02000</v>
      </c>
      <c r="AN197" t="str">
        <f t="shared" si="5"/>
        <v>14.02000</v>
      </c>
    </row>
    <row r="198" spans="2:40" ht="18" customHeight="1">
      <c r="B198" s="71">
        <v>193</v>
      </c>
      <c r="C198" s="81" t="s">
        <v>497</v>
      </c>
      <c r="D198" s="71" t="s">
        <v>1127</v>
      </c>
      <c r="E198" s="82" t="s">
        <v>1126</v>
      </c>
      <c r="F198" s="85" t="s">
        <v>840</v>
      </c>
      <c r="G198" s="74">
        <v>0.05</v>
      </c>
      <c r="H198" s="74" t="s">
        <v>824</v>
      </c>
      <c r="I198" s="74">
        <v>0.05</v>
      </c>
      <c r="J198" s="75" t="s">
        <v>824</v>
      </c>
      <c r="K198" s="75"/>
      <c r="L198" s="75"/>
      <c r="M198" s="75"/>
      <c r="N198" s="75"/>
      <c r="O198" s="75"/>
      <c r="P198" s="75"/>
      <c r="Q198" s="75"/>
      <c r="R198" s="75"/>
      <c r="S198" s="75"/>
      <c r="T198" s="75"/>
      <c r="U198" s="75"/>
      <c r="V198" s="75"/>
      <c r="W198" s="74">
        <v>0.05</v>
      </c>
      <c r="X198" s="75" t="s">
        <v>849</v>
      </c>
      <c r="Y198" s="74">
        <v>0.05</v>
      </c>
      <c r="Z198" s="75"/>
      <c r="AA198" s="74">
        <v>0.05</v>
      </c>
      <c r="AB198" s="75" t="s">
        <v>824</v>
      </c>
      <c r="AC198" s="76">
        <v>0.05</v>
      </c>
      <c r="AD198" s="76" t="s">
        <v>824</v>
      </c>
      <c r="AE198" s="76">
        <v>0.02</v>
      </c>
      <c r="AF198" s="75" t="s">
        <v>824</v>
      </c>
      <c r="AG198" s="79">
        <v>0</v>
      </c>
      <c r="AH198" s="77">
        <v>0</v>
      </c>
      <c r="AI198" s="79">
        <v>0</v>
      </c>
      <c r="AJ198" s="77">
        <v>0</v>
      </c>
      <c r="AK198" s="79">
        <v>0.11</v>
      </c>
      <c r="AL198" s="79">
        <v>3.5000000000000003E-2</v>
      </c>
      <c r="AM198" s="80" t="str">
        <f t="shared" ref="AM198:AM261" si="6">C198&amp;AG198&amp;AI198&amp;AK198</f>
        <v>14.02000,11</v>
      </c>
      <c r="AN198" t="str">
        <f t="shared" ref="AN198:AN261" si="7">C198&amp;AG198&amp;AI198&amp;AL198</f>
        <v>14.02000,035</v>
      </c>
    </row>
    <row r="199" spans="2:40" ht="18" customHeight="1">
      <c r="B199" s="71">
        <v>194</v>
      </c>
      <c r="C199" s="81" t="s">
        <v>500</v>
      </c>
      <c r="D199" s="71" t="s">
        <v>1128</v>
      </c>
      <c r="E199" s="82" t="s">
        <v>1129</v>
      </c>
      <c r="F199" s="85" t="s">
        <v>838</v>
      </c>
      <c r="G199" s="74">
        <v>0.05</v>
      </c>
      <c r="H199" s="74" t="s">
        <v>824</v>
      </c>
      <c r="I199" s="74">
        <v>0.05</v>
      </c>
      <c r="J199" s="75" t="s">
        <v>824</v>
      </c>
      <c r="K199" s="75"/>
      <c r="L199" s="75"/>
      <c r="M199" s="75"/>
      <c r="N199" s="75"/>
      <c r="O199" s="75"/>
      <c r="P199" s="75"/>
      <c r="Q199" s="75"/>
      <c r="R199" s="75"/>
      <c r="S199" s="75"/>
      <c r="T199" s="75"/>
      <c r="U199" s="75"/>
      <c r="V199" s="75"/>
      <c r="W199" s="74">
        <v>0.05</v>
      </c>
      <c r="X199" s="75" t="s">
        <v>824</v>
      </c>
      <c r="Y199" s="74">
        <v>0.05</v>
      </c>
      <c r="Z199" s="75"/>
      <c r="AA199" s="74">
        <v>0.05</v>
      </c>
      <c r="AB199" s="75" t="s">
        <v>824</v>
      </c>
      <c r="AC199" s="76">
        <v>0.05</v>
      </c>
      <c r="AD199" s="76" t="s">
        <v>824</v>
      </c>
      <c r="AE199" s="76">
        <v>0.02</v>
      </c>
      <c r="AF199" s="75" t="s">
        <v>824</v>
      </c>
      <c r="AG199" s="79">
        <v>0</v>
      </c>
      <c r="AH199" s="78">
        <v>0</v>
      </c>
      <c r="AI199" s="79">
        <v>0</v>
      </c>
      <c r="AJ199" s="78">
        <v>0</v>
      </c>
      <c r="AK199" s="79">
        <v>0</v>
      </c>
      <c r="AL199" s="79">
        <v>0</v>
      </c>
      <c r="AM199" s="80" t="str">
        <f t="shared" si="6"/>
        <v>14.03000</v>
      </c>
      <c r="AN199" t="str">
        <f t="shared" si="7"/>
        <v>14.03000</v>
      </c>
    </row>
    <row r="200" spans="2:40" ht="18" customHeight="1">
      <c r="B200" s="71">
        <v>195</v>
      </c>
      <c r="C200" s="81" t="s">
        <v>503</v>
      </c>
      <c r="D200" s="71" t="s">
        <v>1130</v>
      </c>
      <c r="E200" s="82" t="s">
        <v>1131</v>
      </c>
      <c r="F200" s="85" t="s">
        <v>838</v>
      </c>
      <c r="G200" s="74">
        <v>2.5000000000000001E-2</v>
      </c>
      <c r="H200" s="74" t="s">
        <v>824</v>
      </c>
      <c r="I200" s="74">
        <v>0.03</v>
      </c>
      <c r="J200" s="75" t="s">
        <v>824</v>
      </c>
      <c r="K200" s="75"/>
      <c r="L200" s="75"/>
      <c r="M200" s="75"/>
      <c r="N200" s="75"/>
      <c r="O200" s="75"/>
      <c r="P200" s="75"/>
      <c r="Q200" s="75"/>
      <c r="R200" s="75"/>
      <c r="S200" s="75"/>
      <c r="T200" s="75"/>
      <c r="U200" s="75"/>
      <c r="V200" s="75"/>
      <c r="W200" s="74">
        <v>0.05</v>
      </c>
      <c r="X200" s="75" t="s">
        <v>824</v>
      </c>
      <c r="Y200" s="74">
        <v>0.05</v>
      </c>
      <c r="Z200" s="75"/>
      <c r="AA200" s="74">
        <v>0.05</v>
      </c>
      <c r="AB200" s="75" t="s">
        <v>824</v>
      </c>
      <c r="AC200" s="76">
        <v>0.05</v>
      </c>
      <c r="AD200" s="76" t="s">
        <v>824</v>
      </c>
      <c r="AE200" s="76">
        <v>0.02</v>
      </c>
      <c r="AF200" s="75" t="s">
        <v>824</v>
      </c>
      <c r="AG200" s="79">
        <v>0</v>
      </c>
      <c r="AH200" s="78">
        <v>0</v>
      </c>
      <c r="AI200" s="79">
        <v>0</v>
      </c>
      <c r="AJ200" s="78">
        <v>0</v>
      </c>
      <c r="AK200" s="79">
        <v>0</v>
      </c>
      <c r="AL200" s="79">
        <v>0</v>
      </c>
      <c r="AM200" s="80" t="str">
        <f t="shared" si="6"/>
        <v>14.04000</v>
      </c>
      <c r="AN200" t="str">
        <f t="shared" si="7"/>
        <v>14.04000</v>
      </c>
    </row>
    <row r="201" spans="2:40" ht="18" customHeight="1">
      <c r="B201" s="71">
        <v>196</v>
      </c>
      <c r="C201" s="81" t="s">
        <v>506</v>
      </c>
      <c r="D201" s="71" t="s">
        <v>1132</v>
      </c>
      <c r="E201" s="82" t="s">
        <v>1133</v>
      </c>
      <c r="F201" s="85" t="s">
        <v>838</v>
      </c>
      <c r="G201" s="74">
        <v>0.05</v>
      </c>
      <c r="H201" s="74" t="s">
        <v>824</v>
      </c>
      <c r="I201" s="74">
        <v>0.05</v>
      </c>
      <c r="J201" s="75" t="s">
        <v>824</v>
      </c>
      <c r="K201" s="75"/>
      <c r="L201" s="75"/>
      <c r="M201" s="75"/>
      <c r="N201" s="75"/>
      <c r="O201" s="75"/>
      <c r="P201" s="75"/>
      <c r="Q201" s="75"/>
      <c r="R201" s="75"/>
      <c r="S201" s="75"/>
      <c r="T201" s="75"/>
      <c r="U201" s="75"/>
      <c r="V201" s="75"/>
      <c r="W201" s="74">
        <v>0.05</v>
      </c>
      <c r="X201" s="75" t="s">
        <v>849</v>
      </c>
      <c r="Y201" s="74">
        <v>0.05</v>
      </c>
      <c r="Z201" s="75"/>
      <c r="AA201" s="74">
        <v>0.05</v>
      </c>
      <c r="AB201" s="75" t="s">
        <v>824</v>
      </c>
      <c r="AC201" s="76">
        <v>0.05</v>
      </c>
      <c r="AD201" s="76" t="s">
        <v>824</v>
      </c>
      <c r="AE201" s="76">
        <v>0.02</v>
      </c>
      <c r="AF201" s="75" t="s">
        <v>824</v>
      </c>
      <c r="AG201" s="79">
        <v>0</v>
      </c>
      <c r="AH201" s="78">
        <v>0</v>
      </c>
      <c r="AI201" s="79">
        <v>0</v>
      </c>
      <c r="AJ201" s="78">
        <v>0</v>
      </c>
      <c r="AK201" s="79">
        <v>0</v>
      </c>
      <c r="AL201" s="79">
        <v>0</v>
      </c>
      <c r="AM201" s="80" t="str">
        <f t="shared" si="6"/>
        <v>14.05000</v>
      </c>
      <c r="AN201" t="str">
        <f t="shared" si="7"/>
        <v>14.05000</v>
      </c>
    </row>
    <row r="202" spans="2:40" ht="18" customHeight="1">
      <c r="B202" s="71">
        <v>197</v>
      </c>
      <c r="C202" s="81" t="s">
        <v>506</v>
      </c>
      <c r="D202" s="71" t="s">
        <v>1134</v>
      </c>
      <c r="E202" s="82" t="s">
        <v>1133</v>
      </c>
      <c r="F202" s="85" t="s">
        <v>840</v>
      </c>
      <c r="G202" s="74">
        <v>0.05</v>
      </c>
      <c r="H202" s="74" t="s">
        <v>824</v>
      </c>
      <c r="I202" s="74">
        <v>0.05</v>
      </c>
      <c r="J202" s="75" t="s">
        <v>824</v>
      </c>
      <c r="K202" s="75"/>
      <c r="L202" s="75"/>
      <c r="M202" s="75"/>
      <c r="N202" s="75"/>
      <c r="O202" s="75"/>
      <c r="P202" s="75"/>
      <c r="Q202" s="75"/>
      <c r="R202" s="75"/>
      <c r="S202" s="75"/>
      <c r="T202" s="75"/>
      <c r="U202" s="75"/>
      <c r="V202" s="75"/>
      <c r="W202" s="74">
        <v>0.05</v>
      </c>
      <c r="X202" s="75" t="s">
        <v>849</v>
      </c>
      <c r="Y202" s="74">
        <v>0.05</v>
      </c>
      <c r="Z202" s="75"/>
      <c r="AA202" s="74">
        <v>0.05</v>
      </c>
      <c r="AB202" s="75" t="s">
        <v>824</v>
      </c>
      <c r="AC202" s="76">
        <v>0.05</v>
      </c>
      <c r="AD202" s="76" t="s">
        <v>824</v>
      </c>
      <c r="AE202" s="76">
        <v>0.02</v>
      </c>
      <c r="AF202" s="75" t="s">
        <v>824</v>
      </c>
      <c r="AG202" s="79">
        <v>0</v>
      </c>
      <c r="AH202" s="78">
        <v>0</v>
      </c>
      <c r="AI202" s="79">
        <v>0</v>
      </c>
      <c r="AJ202" s="78">
        <v>0</v>
      </c>
      <c r="AK202" s="79">
        <v>0.11</v>
      </c>
      <c r="AL202" s="79">
        <v>3.5000000000000003E-2</v>
      </c>
      <c r="AM202" s="80" t="str">
        <f t="shared" si="6"/>
        <v>14.05000,11</v>
      </c>
      <c r="AN202" t="str">
        <f t="shared" si="7"/>
        <v>14.05000,035</v>
      </c>
    </row>
    <row r="203" spans="2:40" ht="18" customHeight="1">
      <c r="B203" s="71">
        <v>198</v>
      </c>
      <c r="C203" s="81" t="s">
        <v>509</v>
      </c>
      <c r="D203" s="71" t="s">
        <v>1135</v>
      </c>
      <c r="E203" s="82" t="s">
        <v>1136</v>
      </c>
      <c r="F203" s="85" t="s">
        <v>838</v>
      </c>
      <c r="G203" s="74">
        <v>0.05</v>
      </c>
      <c r="H203" s="74" t="s">
        <v>824</v>
      </c>
      <c r="I203" s="74">
        <v>0.05</v>
      </c>
      <c r="J203" s="75" t="s">
        <v>824</v>
      </c>
      <c r="K203" s="75"/>
      <c r="L203" s="75"/>
      <c r="M203" s="75"/>
      <c r="N203" s="75"/>
      <c r="O203" s="75"/>
      <c r="P203" s="75"/>
      <c r="Q203" s="75"/>
      <c r="R203" s="75"/>
      <c r="S203" s="75"/>
      <c r="T203" s="75"/>
      <c r="U203" s="75"/>
      <c r="V203" s="75"/>
      <c r="W203" s="74">
        <v>0.02</v>
      </c>
      <c r="X203" s="75" t="s">
        <v>849</v>
      </c>
      <c r="Y203" s="74">
        <v>0.05</v>
      </c>
      <c r="Z203" s="75"/>
      <c r="AA203" s="74">
        <v>0.05</v>
      </c>
      <c r="AB203" s="75" t="s">
        <v>849</v>
      </c>
      <c r="AC203" s="76">
        <v>0.05</v>
      </c>
      <c r="AD203" s="89" t="s">
        <v>824</v>
      </c>
      <c r="AE203" s="76">
        <v>0.02</v>
      </c>
      <c r="AF203" s="75" t="s">
        <v>824</v>
      </c>
      <c r="AG203" s="79">
        <v>0</v>
      </c>
      <c r="AH203" s="78">
        <v>0</v>
      </c>
      <c r="AI203" s="79">
        <v>0</v>
      </c>
      <c r="AJ203" s="78">
        <v>0</v>
      </c>
      <c r="AK203" s="79">
        <v>0</v>
      </c>
      <c r="AL203" s="79">
        <v>0</v>
      </c>
      <c r="AM203" s="80" t="str">
        <f t="shared" si="6"/>
        <v>14.06000</v>
      </c>
      <c r="AN203" t="str">
        <f t="shared" si="7"/>
        <v>14.06000</v>
      </c>
    </row>
    <row r="204" spans="2:40" ht="18" customHeight="1">
      <c r="B204" s="71">
        <v>199</v>
      </c>
      <c r="C204" s="81" t="s">
        <v>509</v>
      </c>
      <c r="D204" s="71" t="s">
        <v>1137</v>
      </c>
      <c r="E204" s="82" t="s">
        <v>1136</v>
      </c>
      <c r="F204" s="85" t="s">
        <v>840</v>
      </c>
      <c r="G204" s="74">
        <v>0.05</v>
      </c>
      <c r="H204" s="74" t="s">
        <v>824</v>
      </c>
      <c r="I204" s="74">
        <v>0.05</v>
      </c>
      <c r="J204" s="75" t="s">
        <v>824</v>
      </c>
      <c r="K204" s="75"/>
      <c r="L204" s="75"/>
      <c r="M204" s="75"/>
      <c r="N204" s="75"/>
      <c r="O204" s="75"/>
      <c r="P204" s="75"/>
      <c r="Q204" s="75"/>
      <c r="R204" s="75"/>
      <c r="S204" s="75"/>
      <c r="T204" s="75"/>
      <c r="U204" s="75"/>
      <c r="V204" s="75"/>
      <c r="W204" s="74">
        <v>0.02</v>
      </c>
      <c r="X204" s="75" t="s">
        <v>849</v>
      </c>
      <c r="Y204" s="74">
        <v>0.05</v>
      </c>
      <c r="Z204" s="75"/>
      <c r="AA204" s="74">
        <v>0.05</v>
      </c>
      <c r="AB204" s="75" t="s">
        <v>849</v>
      </c>
      <c r="AC204" s="76">
        <v>0.05</v>
      </c>
      <c r="AD204" s="89" t="s">
        <v>824</v>
      </c>
      <c r="AE204" s="76">
        <v>0.02</v>
      </c>
      <c r="AF204" s="75" t="s">
        <v>824</v>
      </c>
      <c r="AG204" s="79">
        <v>0</v>
      </c>
      <c r="AH204" s="78">
        <v>0</v>
      </c>
      <c r="AI204" s="79">
        <v>0</v>
      </c>
      <c r="AJ204" s="78">
        <v>0</v>
      </c>
      <c r="AK204" s="79">
        <v>0.11</v>
      </c>
      <c r="AL204" s="79">
        <v>3.5000000000000003E-2</v>
      </c>
      <c r="AM204" s="80" t="str">
        <f t="shared" si="6"/>
        <v>14.06000,11</v>
      </c>
      <c r="AN204" t="str">
        <f t="shared" si="7"/>
        <v>14.06000,035</v>
      </c>
    </row>
    <row r="205" spans="2:40" ht="18" customHeight="1">
      <c r="B205" s="71">
        <v>200</v>
      </c>
      <c r="C205" s="81" t="s">
        <v>516</v>
      </c>
      <c r="D205" s="71" t="s">
        <v>1138</v>
      </c>
      <c r="E205" s="82" t="s">
        <v>1139</v>
      </c>
      <c r="F205" s="85" t="s">
        <v>838</v>
      </c>
      <c r="G205" s="74">
        <v>0.05</v>
      </c>
      <c r="H205" s="74" t="s">
        <v>824</v>
      </c>
      <c r="I205" s="74">
        <v>0.05</v>
      </c>
      <c r="J205" s="75" t="s">
        <v>824</v>
      </c>
      <c r="K205" s="75"/>
      <c r="L205" s="75"/>
      <c r="M205" s="75"/>
      <c r="N205" s="75"/>
      <c r="O205" s="75"/>
      <c r="P205" s="75"/>
      <c r="Q205" s="75"/>
      <c r="R205" s="75"/>
      <c r="S205" s="75"/>
      <c r="T205" s="75"/>
      <c r="U205" s="75"/>
      <c r="V205" s="75"/>
      <c r="W205" s="74">
        <v>0.05</v>
      </c>
      <c r="X205" s="75" t="s">
        <v>849</v>
      </c>
      <c r="Y205" s="74">
        <v>0.05</v>
      </c>
      <c r="Z205" s="75"/>
      <c r="AA205" s="74">
        <v>0.05</v>
      </c>
      <c r="AB205" s="75" t="s">
        <v>824</v>
      </c>
      <c r="AC205" s="76">
        <v>0.05</v>
      </c>
      <c r="AD205" s="76" t="s">
        <v>824</v>
      </c>
      <c r="AE205" s="76">
        <v>0.02</v>
      </c>
      <c r="AF205" s="75" t="s">
        <v>824</v>
      </c>
      <c r="AG205" s="79">
        <v>0</v>
      </c>
      <c r="AH205" s="78">
        <v>0</v>
      </c>
      <c r="AI205" s="79">
        <v>0</v>
      </c>
      <c r="AJ205" s="78">
        <v>0</v>
      </c>
      <c r="AK205" s="79">
        <v>0</v>
      </c>
      <c r="AL205" s="79">
        <v>0</v>
      </c>
      <c r="AM205" s="80" t="str">
        <f t="shared" si="6"/>
        <v>14.08000</v>
      </c>
      <c r="AN205" t="str">
        <f t="shared" si="7"/>
        <v>14.08000</v>
      </c>
    </row>
    <row r="206" spans="2:40" ht="18" customHeight="1">
      <c r="B206" s="71">
        <v>201</v>
      </c>
      <c r="C206" s="81" t="s">
        <v>516</v>
      </c>
      <c r="D206" s="71" t="s">
        <v>1140</v>
      </c>
      <c r="E206" s="82" t="s">
        <v>1139</v>
      </c>
      <c r="F206" s="85" t="s">
        <v>840</v>
      </c>
      <c r="G206" s="74">
        <v>0.05</v>
      </c>
      <c r="H206" s="74" t="s">
        <v>824</v>
      </c>
      <c r="I206" s="74">
        <v>0.05</v>
      </c>
      <c r="J206" s="75" t="s">
        <v>824</v>
      </c>
      <c r="K206" s="75"/>
      <c r="L206" s="75"/>
      <c r="M206" s="75"/>
      <c r="N206" s="75"/>
      <c r="O206" s="75"/>
      <c r="P206" s="75"/>
      <c r="Q206" s="75"/>
      <c r="R206" s="75"/>
      <c r="S206" s="75"/>
      <c r="T206" s="75"/>
      <c r="U206" s="75"/>
      <c r="V206" s="75"/>
      <c r="W206" s="74">
        <v>0.05</v>
      </c>
      <c r="X206" s="75" t="s">
        <v>849</v>
      </c>
      <c r="Y206" s="74">
        <v>0.05</v>
      </c>
      <c r="Z206" s="75"/>
      <c r="AA206" s="74">
        <v>0.05</v>
      </c>
      <c r="AB206" s="75" t="s">
        <v>824</v>
      </c>
      <c r="AC206" s="76">
        <v>0.05</v>
      </c>
      <c r="AD206" s="76" t="s">
        <v>824</v>
      </c>
      <c r="AE206" s="76">
        <v>0.02</v>
      </c>
      <c r="AF206" s="75" t="s">
        <v>824</v>
      </c>
      <c r="AG206" s="79">
        <v>0</v>
      </c>
      <c r="AH206" s="78">
        <v>0</v>
      </c>
      <c r="AI206" s="79">
        <v>0</v>
      </c>
      <c r="AJ206" s="78">
        <v>0</v>
      </c>
      <c r="AK206" s="79">
        <v>0.11</v>
      </c>
      <c r="AL206" s="79">
        <v>3.5000000000000003E-2</v>
      </c>
      <c r="AM206" s="80" t="str">
        <f t="shared" si="6"/>
        <v>14.08000,11</v>
      </c>
      <c r="AN206" t="str">
        <f t="shared" si="7"/>
        <v>14.08000,035</v>
      </c>
    </row>
    <row r="207" spans="2:40" ht="18" customHeight="1">
      <c r="B207" s="71">
        <v>202</v>
      </c>
      <c r="C207" s="81" t="s">
        <v>519</v>
      </c>
      <c r="D207" s="71" t="s">
        <v>1141</v>
      </c>
      <c r="E207" s="82" t="s">
        <v>1142</v>
      </c>
      <c r="F207" s="85" t="s">
        <v>838</v>
      </c>
      <c r="G207" s="74">
        <v>0.05</v>
      </c>
      <c r="H207" s="74" t="s">
        <v>824</v>
      </c>
      <c r="I207" s="74">
        <v>0.05</v>
      </c>
      <c r="J207" s="75" t="s">
        <v>824</v>
      </c>
      <c r="K207" s="75"/>
      <c r="L207" s="75"/>
      <c r="M207" s="75"/>
      <c r="N207" s="75"/>
      <c r="O207" s="75"/>
      <c r="P207" s="75"/>
      <c r="Q207" s="75"/>
      <c r="R207" s="75"/>
      <c r="S207" s="75"/>
      <c r="T207" s="75"/>
      <c r="U207" s="75"/>
      <c r="V207" s="75"/>
      <c r="W207" s="74">
        <v>0.05</v>
      </c>
      <c r="X207" s="75" t="s">
        <v>849</v>
      </c>
      <c r="Y207" s="74">
        <v>0.05</v>
      </c>
      <c r="Z207" s="75"/>
      <c r="AA207" s="74">
        <v>0.05</v>
      </c>
      <c r="AB207" s="75" t="s">
        <v>824</v>
      </c>
      <c r="AC207" s="76">
        <v>0.05</v>
      </c>
      <c r="AD207" s="76" t="s">
        <v>824</v>
      </c>
      <c r="AE207" s="76">
        <v>0.02</v>
      </c>
      <c r="AF207" s="75" t="s">
        <v>824</v>
      </c>
      <c r="AG207" s="79">
        <v>0</v>
      </c>
      <c r="AH207" s="78">
        <v>0</v>
      </c>
      <c r="AI207" s="79">
        <v>0</v>
      </c>
      <c r="AJ207" s="78">
        <v>0</v>
      </c>
      <c r="AK207" s="79">
        <v>0</v>
      </c>
      <c r="AL207" s="79">
        <v>0</v>
      </c>
      <c r="AM207" s="80" t="str">
        <f t="shared" si="6"/>
        <v>14.09000</v>
      </c>
      <c r="AN207" t="str">
        <f t="shared" si="7"/>
        <v>14.09000</v>
      </c>
    </row>
    <row r="208" spans="2:40" ht="18" customHeight="1">
      <c r="B208" s="71">
        <v>203</v>
      </c>
      <c r="C208" s="81" t="s">
        <v>519</v>
      </c>
      <c r="D208" s="71" t="s">
        <v>1143</v>
      </c>
      <c r="E208" s="82" t="s">
        <v>1142</v>
      </c>
      <c r="F208" s="85" t="s">
        <v>840</v>
      </c>
      <c r="G208" s="74">
        <v>0.05</v>
      </c>
      <c r="H208" s="74" t="s">
        <v>824</v>
      </c>
      <c r="I208" s="74">
        <v>0.05</v>
      </c>
      <c r="J208" s="75" t="s">
        <v>824</v>
      </c>
      <c r="K208" s="75"/>
      <c r="L208" s="75"/>
      <c r="M208" s="75"/>
      <c r="N208" s="75"/>
      <c r="O208" s="75"/>
      <c r="P208" s="75"/>
      <c r="Q208" s="75"/>
      <c r="R208" s="75"/>
      <c r="S208" s="75"/>
      <c r="T208" s="75"/>
      <c r="U208" s="75"/>
      <c r="V208" s="75"/>
      <c r="W208" s="74">
        <v>0.05</v>
      </c>
      <c r="X208" s="75" t="s">
        <v>849</v>
      </c>
      <c r="Y208" s="74">
        <v>0.05</v>
      </c>
      <c r="Z208" s="75"/>
      <c r="AA208" s="74">
        <v>0.05</v>
      </c>
      <c r="AB208" s="75" t="s">
        <v>824</v>
      </c>
      <c r="AC208" s="76">
        <v>0.05</v>
      </c>
      <c r="AD208" s="76" t="s">
        <v>824</v>
      </c>
      <c r="AE208" s="76">
        <v>0.02</v>
      </c>
      <c r="AF208" s="75" t="s">
        <v>824</v>
      </c>
      <c r="AG208" s="79">
        <v>0</v>
      </c>
      <c r="AH208" s="78">
        <v>0</v>
      </c>
      <c r="AI208" s="79">
        <v>0</v>
      </c>
      <c r="AJ208" s="78">
        <v>0</v>
      </c>
      <c r="AK208" s="79">
        <v>0.11</v>
      </c>
      <c r="AL208" s="79">
        <v>3.5000000000000003E-2</v>
      </c>
      <c r="AM208" s="80" t="str">
        <f t="shared" si="6"/>
        <v>14.09000,11</v>
      </c>
      <c r="AN208" t="str">
        <f t="shared" si="7"/>
        <v>14.09000,035</v>
      </c>
    </row>
    <row r="209" spans="2:40" ht="18" customHeight="1">
      <c r="B209" s="71">
        <v>204</v>
      </c>
      <c r="C209" s="81" t="s">
        <v>522</v>
      </c>
      <c r="D209" s="71" t="s">
        <v>1144</v>
      </c>
      <c r="E209" s="82" t="s">
        <v>1145</v>
      </c>
      <c r="F209" s="85" t="s">
        <v>838</v>
      </c>
      <c r="G209" s="74">
        <v>0.05</v>
      </c>
      <c r="H209" s="74" t="s">
        <v>824</v>
      </c>
      <c r="I209" s="74">
        <v>0.05</v>
      </c>
      <c r="J209" s="75" t="s">
        <v>824</v>
      </c>
      <c r="K209" s="75"/>
      <c r="L209" s="75"/>
      <c r="M209" s="75"/>
      <c r="N209" s="75"/>
      <c r="O209" s="75"/>
      <c r="P209" s="75"/>
      <c r="Q209" s="75"/>
      <c r="R209" s="75"/>
      <c r="S209" s="75"/>
      <c r="T209" s="75"/>
      <c r="U209" s="75"/>
      <c r="V209" s="75"/>
      <c r="W209" s="74">
        <v>0.05</v>
      </c>
      <c r="X209" s="75" t="s">
        <v>849</v>
      </c>
      <c r="Y209" s="74">
        <v>0.05</v>
      </c>
      <c r="Z209" s="75"/>
      <c r="AA209" s="74">
        <v>0.05</v>
      </c>
      <c r="AB209" s="75" t="s">
        <v>824</v>
      </c>
      <c r="AC209" s="76">
        <v>0.05</v>
      </c>
      <c r="AD209" s="76" t="s">
        <v>824</v>
      </c>
      <c r="AE209" s="76">
        <v>0.02</v>
      </c>
      <c r="AF209" s="75" t="s">
        <v>824</v>
      </c>
      <c r="AG209" s="79">
        <v>0</v>
      </c>
      <c r="AH209" s="78">
        <v>0</v>
      </c>
      <c r="AI209" s="79">
        <v>0</v>
      </c>
      <c r="AJ209" s="78">
        <v>0</v>
      </c>
      <c r="AK209" s="79">
        <v>0</v>
      </c>
      <c r="AL209" s="79">
        <v>0</v>
      </c>
      <c r="AM209" s="80" t="str">
        <f t="shared" si="6"/>
        <v>14.10000</v>
      </c>
      <c r="AN209" t="str">
        <f t="shared" si="7"/>
        <v>14.10000</v>
      </c>
    </row>
    <row r="210" spans="2:40" ht="18" customHeight="1">
      <c r="B210" s="71">
        <v>205</v>
      </c>
      <c r="C210" s="81" t="s">
        <v>522</v>
      </c>
      <c r="D210" s="71" t="s">
        <v>1146</v>
      </c>
      <c r="E210" s="82" t="s">
        <v>1145</v>
      </c>
      <c r="F210" s="85" t="s">
        <v>840</v>
      </c>
      <c r="G210" s="74">
        <v>0.05</v>
      </c>
      <c r="H210" s="74" t="s">
        <v>824</v>
      </c>
      <c r="I210" s="74">
        <v>0.05</v>
      </c>
      <c r="J210" s="75" t="s">
        <v>824</v>
      </c>
      <c r="K210" s="75"/>
      <c r="L210" s="75"/>
      <c r="M210" s="75"/>
      <c r="N210" s="75"/>
      <c r="O210" s="75"/>
      <c r="P210" s="75"/>
      <c r="Q210" s="75"/>
      <c r="R210" s="75"/>
      <c r="S210" s="75"/>
      <c r="T210" s="75"/>
      <c r="U210" s="75"/>
      <c r="V210" s="75"/>
      <c r="W210" s="74">
        <v>0.05</v>
      </c>
      <c r="X210" s="75" t="s">
        <v>849</v>
      </c>
      <c r="Y210" s="74">
        <v>0.05</v>
      </c>
      <c r="Z210" s="75"/>
      <c r="AA210" s="74">
        <v>0.05</v>
      </c>
      <c r="AB210" s="75" t="s">
        <v>824</v>
      </c>
      <c r="AC210" s="76">
        <v>0.05</v>
      </c>
      <c r="AD210" s="76" t="s">
        <v>824</v>
      </c>
      <c r="AE210" s="76">
        <v>0.02</v>
      </c>
      <c r="AF210" s="75" t="s">
        <v>824</v>
      </c>
      <c r="AG210" s="79">
        <v>0</v>
      </c>
      <c r="AH210" s="78">
        <v>0</v>
      </c>
      <c r="AI210" s="79">
        <v>0</v>
      </c>
      <c r="AJ210" s="78">
        <v>0</v>
      </c>
      <c r="AK210" s="79">
        <v>0.11</v>
      </c>
      <c r="AL210" s="79">
        <v>3.5000000000000003E-2</v>
      </c>
      <c r="AM210" s="80" t="str">
        <f t="shared" si="6"/>
        <v>14.10000,11</v>
      </c>
      <c r="AN210" t="str">
        <f t="shared" si="7"/>
        <v>14.10000,035</v>
      </c>
    </row>
    <row r="211" spans="2:40" ht="18" customHeight="1">
      <c r="B211" s="71">
        <v>206</v>
      </c>
      <c r="C211" s="81" t="s">
        <v>525</v>
      </c>
      <c r="D211" s="71" t="s">
        <v>891</v>
      </c>
      <c r="E211" s="82" t="s">
        <v>1147</v>
      </c>
      <c r="F211" s="85" t="s">
        <v>838</v>
      </c>
      <c r="G211" s="74">
        <v>0.05</v>
      </c>
      <c r="H211" s="74" t="s">
        <v>824</v>
      </c>
      <c r="I211" s="74">
        <v>0.05</v>
      </c>
      <c r="J211" s="75" t="s">
        <v>824</v>
      </c>
      <c r="K211" s="75"/>
      <c r="L211" s="75"/>
      <c r="M211" s="75"/>
      <c r="N211" s="75"/>
      <c r="O211" s="75"/>
      <c r="P211" s="75"/>
      <c r="Q211" s="75"/>
      <c r="R211" s="75"/>
      <c r="S211" s="75"/>
      <c r="T211" s="75"/>
      <c r="U211" s="75"/>
      <c r="V211" s="75"/>
      <c r="W211" s="74">
        <v>0.05</v>
      </c>
      <c r="X211" s="75" t="s">
        <v>849</v>
      </c>
      <c r="Y211" s="74">
        <v>0.05</v>
      </c>
      <c r="Z211" s="75"/>
      <c r="AA211" s="74">
        <v>0.05</v>
      </c>
      <c r="AB211" s="75" t="s">
        <v>824</v>
      </c>
      <c r="AC211" s="76">
        <v>0.05</v>
      </c>
      <c r="AD211" s="76" t="s">
        <v>824</v>
      </c>
      <c r="AE211" s="76">
        <v>0.02</v>
      </c>
      <c r="AF211" s="75" t="s">
        <v>824</v>
      </c>
      <c r="AG211" s="79">
        <v>0</v>
      </c>
      <c r="AH211" s="78">
        <v>0</v>
      </c>
      <c r="AI211" s="79">
        <v>0</v>
      </c>
      <c r="AJ211" s="78">
        <v>0</v>
      </c>
      <c r="AK211" s="79">
        <v>0</v>
      </c>
      <c r="AL211" s="79">
        <v>0</v>
      </c>
      <c r="AM211" s="80" t="str">
        <f t="shared" si="6"/>
        <v>14.11000</v>
      </c>
      <c r="AN211" t="str">
        <f t="shared" si="7"/>
        <v>14.11000</v>
      </c>
    </row>
    <row r="212" spans="2:40" ht="18" customHeight="1">
      <c r="B212" s="71">
        <v>207</v>
      </c>
      <c r="C212" s="81" t="s">
        <v>525</v>
      </c>
      <c r="D212" s="71" t="s">
        <v>892</v>
      </c>
      <c r="E212" s="82" t="s">
        <v>1147</v>
      </c>
      <c r="F212" s="85" t="s">
        <v>838</v>
      </c>
      <c r="G212" s="74">
        <v>0.05</v>
      </c>
      <c r="H212" s="74" t="s">
        <v>824</v>
      </c>
      <c r="I212" s="74">
        <v>0.05</v>
      </c>
      <c r="J212" s="75" t="s">
        <v>824</v>
      </c>
      <c r="K212" s="75"/>
      <c r="L212" s="75"/>
      <c r="M212" s="75"/>
      <c r="N212" s="75"/>
      <c r="O212" s="75"/>
      <c r="P212" s="75"/>
      <c r="Q212" s="75"/>
      <c r="R212" s="75"/>
      <c r="S212" s="75"/>
      <c r="T212" s="75"/>
      <c r="U212" s="75"/>
      <c r="V212" s="75"/>
      <c r="W212" s="74">
        <v>0.05</v>
      </c>
      <c r="X212" s="75" t="s">
        <v>849</v>
      </c>
      <c r="Y212" s="74">
        <v>0.05</v>
      </c>
      <c r="Z212" s="75"/>
      <c r="AA212" s="74">
        <v>0.05</v>
      </c>
      <c r="AB212" s="75" t="s">
        <v>824</v>
      </c>
      <c r="AC212" s="76">
        <v>0.05</v>
      </c>
      <c r="AD212" s="76" t="s">
        <v>824</v>
      </c>
      <c r="AE212" s="76">
        <v>0.02</v>
      </c>
      <c r="AF212" s="75" t="s">
        <v>824</v>
      </c>
      <c r="AG212" s="79">
        <v>0</v>
      </c>
      <c r="AH212" s="78">
        <v>0</v>
      </c>
      <c r="AI212" s="79">
        <v>0</v>
      </c>
      <c r="AJ212" s="78">
        <v>0</v>
      </c>
      <c r="AK212" s="79">
        <v>0.11</v>
      </c>
      <c r="AL212" s="79">
        <v>3.5000000000000003E-2</v>
      </c>
      <c r="AM212" s="80" t="str">
        <f t="shared" si="6"/>
        <v>14.11000,11</v>
      </c>
      <c r="AN212" t="str">
        <f t="shared" si="7"/>
        <v>14.11000,035</v>
      </c>
    </row>
    <row r="213" spans="2:40" ht="18" customHeight="1">
      <c r="B213" s="71">
        <v>208</v>
      </c>
      <c r="C213" s="81" t="s">
        <v>528</v>
      </c>
      <c r="D213" s="71" t="s">
        <v>1148</v>
      </c>
      <c r="E213" s="82" t="s">
        <v>1149</v>
      </c>
      <c r="F213" s="85" t="s">
        <v>838</v>
      </c>
      <c r="G213" s="74">
        <v>0.05</v>
      </c>
      <c r="H213" s="74" t="s">
        <v>824</v>
      </c>
      <c r="I213" s="74">
        <v>0.05</v>
      </c>
      <c r="J213" s="75" t="s">
        <v>824</v>
      </c>
      <c r="K213" s="75"/>
      <c r="L213" s="75"/>
      <c r="M213" s="75"/>
      <c r="N213" s="75"/>
      <c r="O213" s="75"/>
      <c r="P213" s="75"/>
      <c r="Q213" s="75"/>
      <c r="R213" s="75"/>
      <c r="S213" s="75"/>
      <c r="T213" s="75"/>
      <c r="U213" s="75"/>
      <c r="V213" s="75"/>
      <c r="W213" s="74">
        <v>0.05</v>
      </c>
      <c r="X213" s="75" t="s">
        <v>849</v>
      </c>
      <c r="Y213" s="74">
        <v>0.05</v>
      </c>
      <c r="Z213" s="75"/>
      <c r="AA213" s="74">
        <v>0.05</v>
      </c>
      <c r="AB213" s="75" t="s">
        <v>824</v>
      </c>
      <c r="AC213" s="76">
        <v>0.05</v>
      </c>
      <c r="AD213" s="76" t="s">
        <v>824</v>
      </c>
      <c r="AE213" s="76">
        <v>0.02</v>
      </c>
      <c r="AF213" s="75" t="s">
        <v>824</v>
      </c>
      <c r="AG213" s="79">
        <v>0</v>
      </c>
      <c r="AH213" s="78">
        <v>0</v>
      </c>
      <c r="AI213" s="79">
        <v>0</v>
      </c>
      <c r="AJ213" s="78">
        <v>0</v>
      </c>
      <c r="AK213" s="79">
        <v>0</v>
      </c>
      <c r="AL213" s="79">
        <v>0</v>
      </c>
      <c r="AM213" s="80" t="str">
        <f t="shared" si="6"/>
        <v>14.12000</v>
      </c>
      <c r="AN213" t="str">
        <f t="shared" si="7"/>
        <v>14.12000</v>
      </c>
    </row>
    <row r="214" spans="2:40" ht="18" customHeight="1">
      <c r="B214" s="71">
        <v>209</v>
      </c>
      <c r="C214" s="81" t="s">
        <v>528</v>
      </c>
      <c r="D214" s="71" t="s">
        <v>1150</v>
      </c>
      <c r="E214" s="82" t="s">
        <v>1149</v>
      </c>
      <c r="F214" s="85" t="s">
        <v>838</v>
      </c>
      <c r="G214" s="74">
        <v>0.05</v>
      </c>
      <c r="H214" s="74" t="s">
        <v>824</v>
      </c>
      <c r="I214" s="74">
        <v>0.05</v>
      </c>
      <c r="J214" s="75" t="s">
        <v>824</v>
      </c>
      <c r="K214" s="75"/>
      <c r="L214" s="75"/>
      <c r="M214" s="75"/>
      <c r="N214" s="75"/>
      <c r="O214" s="75"/>
      <c r="P214" s="75"/>
      <c r="Q214" s="75"/>
      <c r="R214" s="75"/>
      <c r="S214" s="75"/>
      <c r="T214" s="75"/>
      <c r="U214" s="75"/>
      <c r="V214" s="75"/>
      <c r="W214" s="74">
        <v>0.05</v>
      </c>
      <c r="X214" s="75" t="s">
        <v>849</v>
      </c>
      <c r="Y214" s="74">
        <v>0.05</v>
      </c>
      <c r="Z214" s="75"/>
      <c r="AA214" s="74">
        <v>0.05</v>
      </c>
      <c r="AB214" s="75" t="s">
        <v>824</v>
      </c>
      <c r="AC214" s="76">
        <v>0.05</v>
      </c>
      <c r="AD214" s="76" t="s">
        <v>824</v>
      </c>
      <c r="AE214" s="76">
        <v>0.02</v>
      </c>
      <c r="AF214" s="75" t="s">
        <v>824</v>
      </c>
      <c r="AG214" s="79">
        <v>0</v>
      </c>
      <c r="AH214" s="78">
        <v>0</v>
      </c>
      <c r="AI214" s="79">
        <v>0</v>
      </c>
      <c r="AJ214" s="78">
        <v>0</v>
      </c>
      <c r="AK214" s="79">
        <v>0.11</v>
      </c>
      <c r="AL214" s="79">
        <v>3.5000000000000003E-2</v>
      </c>
      <c r="AM214" s="80" t="str">
        <f t="shared" si="6"/>
        <v>14.12000,11</v>
      </c>
      <c r="AN214" t="str">
        <f t="shared" si="7"/>
        <v>14.12000,035</v>
      </c>
    </row>
    <row r="215" spans="2:40" ht="18" customHeight="1">
      <c r="B215" s="71">
        <v>210</v>
      </c>
      <c r="C215" s="81" t="s">
        <v>531</v>
      </c>
      <c r="D215" s="71" t="s">
        <v>1151</v>
      </c>
      <c r="E215" s="82" t="s">
        <v>1152</v>
      </c>
      <c r="F215" s="85" t="s">
        <v>838</v>
      </c>
      <c r="G215" s="74">
        <v>0.05</v>
      </c>
      <c r="H215" s="74" t="s">
        <v>824</v>
      </c>
      <c r="I215" s="74">
        <v>0.05</v>
      </c>
      <c r="J215" s="75" t="s">
        <v>824</v>
      </c>
      <c r="K215" s="75"/>
      <c r="L215" s="75"/>
      <c r="M215" s="75"/>
      <c r="N215" s="75"/>
      <c r="O215" s="75"/>
      <c r="P215" s="75"/>
      <c r="Q215" s="75"/>
      <c r="R215" s="75"/>
      <c r="S215" s="75"/>
      <c r="T215" s="75"/>
      <c r="U215" s="75"/>
      <c r="V215" s="75"/>
      <c r="W215" s="74">
        <v>0.05</v>
      </c>
      <c r="X215" s="75" t="s">
        <v>849</v>
      </c>
      <c r="Y215" s="74">
        <v>0.05</v>
      </c>
      <c r="Z215" s="75"/>
      <c r="AA215" s="74">
        <v>0.05</v>
      </c>
      <c r="AB215" s="75" t="s">
        <v>824</v>
      </c>
      <c r="AC215" s="76">
        <v>0.05</v>
      </c>
      <c r="AD215" s="76" t="s">
        <v>824</v>
      </c>
      <c r="AE215" s="76">
        <v>0.02</v>
      </c>
      <c r="AF215" s="75" t="s">
        <v>824</v>
      </c>
      <c r="AG215" s="79">
        <v>0</v>
      </c>
      <c r="AH215" s="78">
        <v>0</v>
      </c>
      <c r="AI215" s="79">
        <v>0</v>
      </c>
      <c r="AJ215" s="78">
        <v>0</v>
      </c>
      <c r="AK215" s="79">
        <v>0</v>
      </c>
      <c r="AL215" s="79">
        <v>0</v>
      </c>
      <c r="AM215" s="80" t="str">
        <f t="shared" si="6"/>
        <v>14.13000</v>
      </c>
      <c r="AN215" t="str">
        <f t="shared" si="7"/>
        <v>14.13000</v>
      </c>
    </row>
    <row r="216" spans="2:40" ht="18" customHeight="1">
      <c r="B216" s="71">
        <v>211</v>
      </c>
      <c r="C216" s="81" t="s">
        <v>534</v>
      </c>
      <c r="D216" s="71" t="s">
        <v>1153</v>
      </c>
      <c r="E216" s="92" t="s">
        <v>1154</v>
      </c>
      <c r="F216" s="93" t="s">
        <v>838</v>
      </c>
      <c r="G216" s="74">
        <v>0.05</v>
      </c>
      <c r="H216" s="74" t="s">
        <v>824</v>
      </c>
      <c r="I216" s="74">
        <v>0.05</v>
      </c>
      <c r="J216" s="75" t="s">
        <v>824</v>
      </c>
      <c r="K216" s="75"/>
      <c r="L216" s="75"/>
      <c r="M216" s="75"/>
      <c r="N216" s="75"/>
      <c r="O216" s="75"/>
      <c r="P216" s="75"/>
      <c r="Q216" s="75"/>
      <c r="R216" s="75"/>
      <c r="S216" s="75"/>
      <c r="T216" s="75"/>
      <c r="U216" s="75"/>
      <c r="V216" s="75"/>
      <c r="W216" s="74">
        <v>0.05</v>
      </c>
      <c r="X216" s="75" t="s">
        <v>824</v>
      </c>
      <c r="Y216" s="74">
        <v>0.05</v>
      </c>
      <c r="Z216" s="75"/>
      <c r="AA216" s="74">
        <v>0.05</v>
      </c>
      <c r="AB216" s="75" t="s">
        <v>824</v>
      </c>
      <c r="AC216" s="76">
        <v>0.05</v>
      </c>
      <c r="AD216" s="76" t="s">
        <v>824</v>
      </c>
      <c r="AE216" s="76">
        <v>0.02</v>
      </c>
      <c r="AF216" s="75" t="s">
        <v>824</v>
      </c>
      <c r="AG216" s="79">
        <v>0</v>
      </c>
      <c r="AH216" s="78">
        <v>0</v>
      </c>
      <c r="AI216" s="79">
        <v>0</v>
      </c>
      <c r="AJ216" s="78">
        <v>0</v>
      </c>
      <c r="AK216" s="79">
        <v>0</v>
      </c>
      <c r="AL216" s="79">
        <v>0</v>
      </c>
      <c r="AM216" s="80" t="str">
        <f t="shared" si="6"/>
        <v>14.14000</v>
      </c>
      <c r="AN216" t="str">
        <f t="shared" si="7"/>
        <v>14.14000</v>
      </c>
    </row>
    <row r="217" spans="2:40" ht="18" customHeight="1">
      <c r="B217" s="71">
        <v>212</v>
      </c>
      <c r="C217" s="81" t="s">
        <v>537</v>
      </c>
      <c r="D217" s="71" t="s">
        <v>1155</v>
      </c>
      <c r="E217" s="82" t="s">
        <v>1156</v>
      </c>
      <c r="F217" s="85" t="s">
        <v>838</v>
      </c>
      <c r="G217" s="74">
        <v>0.05</v>
      </c>
      <c r="H217" s="74" t="s">
        <v>824</v>
      </c>
      <c r="I217" s="74">
        <v>0.05</v>
      </c>
      <c r="J217" s="75" t="s">
        <v>824</v>
      </c>
      <c r="K217" s="75"/>
      <c r="L217" s="75"/>
      <c r="M217" s="75"/>
      <c r="N217" s="75"/>
      <c r="O217" s="75"/>
      <c r="P217" s="75"/>
      <c r="Q217" s="75"/>
      <c r="R217" s="75"/>
      <c r="S217" s="75"/>
      <c r="T217" s="75"/>
      <c r="U217" s="75"/>
      <c r="V217" s="75"/>
      <c r="W217" s="74">
        <v>0.05</v>
      </c>
      <c r="X217" s="75" t="s">
        <v>824</v>
      </c>
      <c r="Y217" s="74">
        <v>0.05</v>
      </c>
      <c r="Z217" s="75"/>
      <c r="AA217" s="74">
        <v>0.02</v>
      </c>
      <c r="AB217" s="75" t="s">
        <v>824</v>
      </c>
      <c r="AC217" s="76">
        <v>0.05</v>
      </c>
      <c r="AD217" s="76" t="s">
        <v>824</v>
      </c>
      <c r="AE217" s="76">
        <v>0.05</v>
      </c>
      <c r="AF217" s="75" t="s">
        <v>824</v>
      </c>
      <c r="AG217" s="79">
        <v>1.4999999999999999E-2</v>
      </c>
      <c r="AH217" s="78">
        <v>1708</v>
      </c>
      <c r="AI217" s="79">
        <v>4.65E-2</v>
      </c>
      <c r="AJ217" s="78">
        <v>5952</v>
      </c>
      <c r="AK217" s="79">
        <v>0</v>
      </c>
      <c r="AL217" s="79">
        <v>0</v>
      </c>
      <c r="AM217" s="80" t="str">
        <f t="shared" si="6"/>
        <v>15.010,0150,04650</v>
      </c>
      <c r="AN217" t="str">
        <f t="shared" si="7"/>
        <v>15.010,0150,04650</v>
      </c>
    </row>
    <row r="218" spans="2:40" ht="18" customHeight="1">
      <c r="B218" s="71">
        <v>213</v>
      </c>
      <c r="C218" s="81" t="s">
        <v>540</v>
      </c>
      <c r="D218" s="71" t="s">
        <v>1157</v>
      </c>
      <c r="E218" s="82" t="s">
        <v>1158</v>
      </c>
      <c r="F218" s="85" t="s">
        <v>838</v>
      </c>
      <c r="G218" s="74">
        <v>0.05</v>
      </c>
      <c r="H218" s="74" t="s">
        <v>824</v>
      </c>
      <c r="I218" s="74">
        <v>0.05</v>
      </c>
      <c r="J218" s="75" t="s">
        <v>824</v>
      </c>
      <c r="K218" s="75"/>
      <c r="L218" s="75"/>
      <c r="M218" s="75"/>
      <c r="N218" s="75"/>
      <c r="O218" s="75"/>
      <c r="P218" s="75"/>
      <c r="Q218" s="75"/>
      <c r="R218" s="75"/>
      <c r="S218" s="75"/>
      <c r="T218" s="75"/>
      <c r="U218" s="75"/>
      <c r="V218" s="75"/>
      <c r="W218" s="74">
        <v>0.05</v>
      </c>
      <c r="X218" s="75" t="s">
        <v>824</v>
      </c>
      <c r="Y218" s="74">
        <v>0.05</v>
      </c>
      <c r="Z218" s="75"/>
      <c r="AA218" s="74">
        <v>0.05</v>
      </c>
      <c r="AB218" s="75" t="s">
        <v>824</v>
      </c>
      <c r="AC218" s="76">
        <v>0.05</v>
      </c>
      <c r="AD218" s="76" t="s">
        <v>824</v>
      </c>
      <c r="AE218" s="76">
        <v>0.05</v>
      </c>
      <c r="AF218" s="75" t="s">
        <v>824</v>
      </c>
      <c r="AG218" s="79">
        <v>1.4999999999999999E-2</v>
      </c>
      <c r="AH218" s="78">
        <v>1708</v>
      </c>
      <c r="AI218" s="79">
        <v>4.65E-2</v>
      </c>
      <c r="AJ218" s="78">
        <v>5952</v>
      </c>
      <c r="AK218" s="79">
        <v>0</v>
      </c>
      <c r="AL218" s="79">
        <v>0</v>
      </c>
      <c r="AM218" s="80" t="str">
        <f t="shared" si="6"/>
        <v>15.020,0150,04650</v>
      </c>
      <c r="AN218" t="str">
        <f t="shared" si="7"/>
        <v>15.020,0150,04650</v>
      </c>
    </row>
    <row r="219" spans="2:40" ht="18" customHeight="1">
      <c r="B219" s="71">
        <v>214</v>
      </c>
      <c r="C219" s="81" t="s">
        <v>544</v>
      </c>
      <c r="D219" s="71" t="s">
        <v>1159</v>
      </c>
      <c r="E219" s="82" t="s">
        <v>1160</v>
      </c>
      <c r="F219" s="85" t="s">
        <v>838</v>
      </c>
      <c r="G219" s="74">
        <v>0.05</v>
      </c>
      <c r="H219" s="74" t="s">
        <v>824</v>
      </c>
      <c r="I219" s="74">
        <v>0.05</v>
      </c>
      <c r="J219" s="75" t="s">
        <v>824</v>
      </c>
      <c r="K219" s="75"/>
      <c r="L219" s="75"/>
      <c r="M219" s="75"/>
      <c r="N219" s="75"/>
      <c r="O219" s="75"/>
      <c r="P219" s="75"/>
      <c r="Q219" s="75"/>
      <c r="R219" s="75"/>
      <c r="S219" s="75"/>
      <c r="T219" s="75"/>
      <c r="U219" s="75"/>
      <c r="V219" s="75"/>
      <c r="W219" s="74" t="s">
        <v>1036</v>
      </c>
      <c r="X219" s="75" t="s">
        <v>824</v>
      </c>
      <c r="Y219" s="74">
        <v>0.05</v>
      </c>
      <c r="Z219" s="75"/>
      <c r="AA219" s="74">
        <v>0.05</v>
      </c>
      <c r="AB219" s="75" t="s">
        <v>824</v>
      </c>
      <c r="AC219" s="76">
        <v>0.05</v>
      </c>
      <c r="AD219" s="76" t="s">
        <v>824</v>
      </c>
      <c r="AE219" s="76">
        <v>0.05</v>
      </c>
      <c r="AF219" s="75" t="s">
        <v>824</v>
      </c>
      <c r="AG219" s="79">
        <v>0</v>
      </c>
      <c r="AH219" s="78">
        <v>0</v>
      </c>
      <c r="AI219" s="79">
        <v>0</v>
      </c>
      <c r="AJ219" s="78">
        <v>0</v>
      </c>
      <c r="AK219" s="79">
        <v>0</v>
      </c>
      <c r="AL219" s="79">
        <v>3.5000000000000003E-2</v>
      </c>
      <c r="AM219" s="80" t="str">
        <f t="shared" si="6"/>
        <v>15.03000</v>
      </c>
      <c r="AN219" t="str">
        <f t="shared" si="7"/>
        <v>15.03000,035</v>
      </c>
    </row>
    <row r="220" spans="2:40" ht="18" customHeight="1">
      <c r="B220" s="71">
        <v>215</v>
      </c>
      <c r="C220" s="81" t="s">
        <v>544</v>
      </c>
      <c r="D220" s="71" t="s">
        <v>1161</v>
      </c>
      <c r="E220" s="82" t="s">
        <v>1160</v>
      </c>
      <c r="F220" s="85" t="s">
        <v>1162</v>
      </c>
      <c r="G220" s="74">
        <v>0.05</v>
      </c>
      <c r="H220" s="74" t="s">
        <v>824</v>
      </c>
      <c r="I220" s="74">
        <v>0.05</v>
      </c>
      <c r="J220" s="75" t="s">
        <v>824</v>
      </c>
      <c r="K220" s="75"/>
      <c r="L220" s="75"/>
      <c r="M220" s="75"/>
      <c r="N220" s="75"/>
      <c r="O220" s="75"/>
      <c r="P220" s="75"/>
      <c r="Q220" s="75"/>
      <c r="R220" s="75"/>
      <c r="S220" s="75"/>
      <c r="T220" s="75"/>
      <c r="U220" s="75"/>
      <c r="V220" s="75"/>
      <c r="W220" s="74" t="s">
        <v>1036</v>
      </c>
      <c r="X220" s="75" t="s">
        <v>824</v>
      </c>
      <c r="Y220" s="74">
        <v>0.05</v>
      </c>
      <c r="Z220" s="75"/>
      <c r="AA220" s="74">
        <v>0.05</v>
      </c>
      <c r="AB220" s="75" t="s">
        <v>824</v>
      </c>
      <c r="AC220" s="76">
        <v>0.05</v>
      </c>
      <c r="AD220" s="76" t="s">
        <v>824</v>
      </c>
      <c r="AE220" s="76">
        <v>0.05</v>
      </c>
      <c r="AF220" s="75" t="s">
        <v>824</v>
      </c>
      <c r="AG220" s="79">
        <v>0</v>
      </c>
      <c r="AH220" s="78">
        <v>0</v>
      </c>
      <c r="AI220" s="79">
        <v>4.65E-2</v>
      </c>
      <c r="AJ220" s="78">
        <v>5952</v>
      </c>
      <c r="AK220" s="79">
        <v>0</v>
      </c>
      <c r="AL220" s="79">
        <v>0</v>
      </c>
      <c r="AM220" s="80" t="str">
        <f t="shared" si="6"/>
        <v>15.0300,04650</v>
      </c>
      <c r="AN220" t="str">
        <f t="shared" si="7"/>
        <v>15.0300,04650</v>
      </c>
    </row>
    <row r="221" spans="2:40" ht="18" customHeight="1">
      <c r="B221" s="71">
        <v>216</v>
      </c>
      <c r="C221" s="81" t="s">
        <v>547</v>
      </c>
      <c r="D221" s="71" t="s">
        <v>1163</v>
      </c>
      <c r="E221" s="82" t="s">
        <v>1164</v>
      </c>
      <c r="F221" s="85" t="s">
        <v>838</v>
      </c>
      <c r="G221" s="74">
        <v>0.05</v>
      </c>
      <c r="H221" s="74" t="s">
        <v>824</v>
      </c>
      <c r="I221" s="74">
        <v>0.05</v>
      </c>
      <c r="J221" s="75" t="s">
        <v>824</v>
      </c>
      <c r="K221" s="75"/>
      <c r="L221" s="75"/>
      <c r="M221" s="75"/>
      <c r="N221" s="75"/>
      <c r="O221" s="75"/>
      <c r="P221" s="75"/>
      <c r="Q221" s="75"/>
      <c r="R221" s="75"/>
      <c r="S221" s="75"/>
      <c r="T221" s="75"/>
      <c r="U221" s="75"/>
      <c r="V221" s="75"/>
      <c r="W221" s="74">
        <v>0.05</v>
      </c>
      <c r="X221" s="75" t="s">
        <v>824</v>
      </c>
      <c r="Y221" s="74">
        <v>0.05</v>
      </c>
      <c r="Z221" s="75"/>
      <c r="AA221" s="74">
        <v>0.05</v>
      </c>
      <c r="AB221" s="75" t="s">
        <v>824</v>
      </c>
      <c r="AC221" s="76">
        <v>0.05</v>
      </c>
      <c r="AD221" s="76" t="s">
        <v>824</v>
      </c>
      <c r="AE221" s="76">
        <v>0.05</v>
      </c>
      <c r="AF221" s="75" t="s">
        <v>824</v>
      </c>
      <c r="AG221" s="79">
        <v>1.4999999999999999E-2</v>
      </c>
      <c r="AH221" s="78">
        <v>1708</v>
      </c>
      <c r="AI221" s="79">
        <v>4.65E-2</v>
      </c>
      <c r="AJ221" s="78">
        <v>5952</v>
      </c>
      <c r="AK221" s="79">
        <v>0</v>
      </c>
      <c r="AL221" s="79">
        <v>0</v>
      </c>
      <c r="AM221" s="80" t="str">
        <f t="shared" si="6"/>
        <v>15.040,0150,04650</v>
      </c>
      <c r="AN221" t="str">
        <f t="shared" si="7"/>
        <v>15.040,0150,04650</v>
      </c>
    </row>
    <row r="222" spans="2:40" ht="18" customHeight="1">
      <c r="B222" s="71">
        <v>217</v>
      </c>
      <c r="C222" s="81" t="s">
        <v>550</v>
      </c>
      <c r="D222" s="71" t="s">
        <v>1165</v>
      </c>
      <c r="E222" s="82" t="s">
        <v>1166</v>
      </c>
      <c r="F222" s="85" t="s">
        <v>838</v>
      </c>
      <c r="G222" s="74">
        <v>0.05</v>
      </c>
      <c r="H222" s="74" t="s">
        <v>824</v>
      </c>
      <c r="I222" s="74">
        <v>0.05</v>
      </c>
      <c r="J222" s="75" t="s">
        <v>824</v>
      </c>
      <c r="K222" s="75"/>
      <c r="L222" s="75"/>
      <c r="M222" s="75"/>
      <c r="N222" s="75"/>
      <c r="O222" s="75"/>
      <c r="P222" s="75"/>
      <c r="Q222" s="75"/>
      <c r="R222" s="75"/>
      <c r="S222" s="75"/>
      <c r="T222" s="75"/>
      <c r="U222" s="75"/>
      <c r="V222" s="75"/>
      <c r="W222" s="74">
        <v>0.05</v>
      </c>
      <c r="X222" s="75" t="s">
        <v>824</v>
      </c>
      <c r="Y222" s="74">
        <v>0.05</v>
      </c>
      <c r="Z222" s="75"/>
      <c r="AA222" s="74">
        <v>0.05</v>
      </c>
      <c r="AB222" s="75" t="s">
        <v>824</v>
      </c>
      <c r="AC222" s="76">
        <v>0.05</v>
      </c>
      <c r="AD222" s="76" t="s">
        <v>824</v>
      </c>
      <c r="AE222" s="76">
        <v>0.05</v>
      </c>
      <c r="AF222" s="75" t="s">
        <v>824</v>
      </c>
      <c r="AG222" s="79">
        <v>1.4999999999999999E-2</v>
      </c>
      <c r="AH222" s="78">
        <v>1708</v>
      </c>
      <c r="AI222" s="79">
        <v>4.65E-2</v>
      </c>
      <c r="AJ222" s="78">
        <v>5952</v>
      </c>
      <c r="AK222" s="79">
        <v>0</v>
      </c>
      <c r="AL222" s="79">
        <v>0</v>
      </c>
      <c r="AM222" s="80" t="str">
        <f t="shared" si="6"/>
        <v>15.050,0150,04650</v>
      </c>
      <c r="AN222" t="str">
        <f t="shared" si="7"/>
        <v>15.050,0150,04650</v>
      </c>
    </row>
    <row r="223" spans="2:40" ht="18" customHeight="1">
      <c r="B223" s="71">
        <v>218</v>
      </c>
      <c r="C223" s="81" t="s">
        <v>554</v>
      </c>
      <c r="D223" s="71" t="s">
        <v>1167</v>
      </c>
      <c r="E223" s="82" t="s">
        <v>1168</v>
      </c>
      <c r="F223" s="85" t="s">
        <v>838</v>
      </c>
      <c r="G223" s="74">
        <v>0.05</v>
      </c>
      <c r="H223" s="74" t="s">
        <v>824</v>
      </c>
      <c r="I223" s="74">
        <v>0.05</v>
      </c>
      <c r="J223" s="75" t="s">
        <v>824</v>
      </c>
      <c r="K223" s="75"/>
      <c r="L223" s="75"/>
      <c r="M223" s="75"/>
      <c r="N223" s="75"/>
      <c r="O223" s="75"/>
      <c r="P223" s="75"/>
      <c r="Q223" s="75"/>
      <c r="R223" s="75"/>
      <c r="S223" s="75"/>
      <c r="T223" s="75"/>
      <c r="U223" s="75"/>
      <c r="V223" s="75"/>
      <c r="W223" s="74">
        <v>0.05</v>
      </c>
      <c r="X223" s="75" t="s">
        <v>824</v>
      </c>
      <c r="Y223" s="74">
        <v>0.05</v>
      </c>
      <c r="Z223" s="75"/>
      <c r="AA223" s="74">
        <v>0.05</v>
      </c>
      <c r="AB223" s="75" t="s">
        <v>824</v>
      </c>
      <c r="AC223" s="76">
        <v>0.02</v>
      </c>
      <c r="AD223" s="76" t="s">
        <v>824</v>
      </c>
      <c r="AE223" s="76">
        <v>0.05</v>
      </c>
      <c r="AF223" s="75" t="s">
        <v>824</v>
      </c>
      <c r="AG223" s="79">
        <v>0</v>
      </c>
      <c r="AH223" s="78">
        <v>0</v>
      </c>
      <c r="AI223" s="79">
        <v>0</v>
      </c>
      <c r="AJ223" s="78">
        <v>0</v>
      </c>
      <c r="AK223" s="79">
        <v>0</v>
      </c>
      <c r="AL223" s="79">
        <v>0</v>
      </c>
      <c r="AM223" s="80" t="str">
        <f t="shared" si="6"/>
        <v>15.06000</v>
      </c>
      <c r="AN223" t="str">
        <f t="shared" si="7"/>
        <v>15.06000</v>
      </c>
    </row>
    <row r="224" spans="2:40" ht="18" customHeight="1">
      <c r="B224" s="71">
        <v>219</v>
      </c>
      <c r="C224" s="81" t="s">
        <v>554</v>
      </c>
      <c r="D224" s="71" t="s">
        <v>1169</v>
      </c>
      <c r="E224" s="82" t="s">
        <v>1168</v>
      </c>
      <c r="F224" s="85" t="s">
        <v>1170</v>
      </c>
      <c r="G224" s="74">
        <v>0.05</v>
      </c>
      <c r="H224" s="74" t="s">
        <v>824</v>
      </c>
      <c r="I224" s="74">
        <v>0.05</v>
      </c>
      <c r="J224" s="75" t="s">
        <v>824</v>
      </c>
      <c r="K224" s="75"/>
      <c r="L224" s="75"/>
      <c r="M224" s="75"/>
      <c r="N224" s="75"/>
      <c r="O224" s="75"/>
      <c r="P224" s="75"/>
      <c r="Q224" s="75"/>
      <c r="R224" s="75"/>
      <c r="S224" s="75"/>
      <c r="T224" s="75"/>
      <c r="U224" s="75"/>
      <c r="V224" s="75"/>
      <c r="W224" s="74">
        <v>0.05</v>
      </c>
      <c r="X224" s="75" t="s">
        <v>824</v>
      </c>
      <c r="Y224" s="74">
        <v>0.05</v>
      </c>
      <c r="Z224" s="75"/>
      <c r="AA224" s="74">
        <v>0.05</v>
      </c>
      <c r="AB224" s="75" t="s">
        <v>824</v>
      </c>
      <c r="AC224" s="76">
        <v>0.02</v>
      </c>
      <c r="AD224" s="76" t="s">
        <v>824</v>
      </c>
      <c r="AE224" s="76">
        <v>0.05</v>
      </c>
      <c r="AF224" s="75" t="s">
        <v>824</v>
      </c>
      <c r="AG224" s="79">
        <v>1.4999999999999999E-2</v>
      </c>
      <c r="AH224" s="78">
        <v>1708</v>
      </c>
      <c r="AI224" s="79">
        <v>4.65E-2</v>
      </c>
      <c r="AJ224" s="78">
        <v>5952</v>
      </c>
      <c r="AK224" s="79">
        <v>0</v>
      </c>
      <c r="AL224" s="79">
        <v>0</v>
      </c>
      <c r="AM224" s="80" t="str">
        <f t="shared" si="6"/>
        <v>15.060,0150,04650</v>
      </c>
      <c r="AN224" t="str">
        <f t="shared" si="7"/>
        <v>15.060,0150,04650</v>
      </c>
    </row>
    <row r="225" spans="2:40" ht="18" customHeight="1">
      <c r="B225" s="71">
        <v>220</v>
      </c>
      <c r="C225" s="81" t="s">
        <v>558</v>
      </c>
      <c r="D225" s="71" t="s">
        <v>1171</v>
      </c>
      <c r="E225" s="82" t="s">
        <v>1172</v>
      </c>
      <c r="F225" s="85" t="s">
        <v>838</v>
      </c>
      <c r="G225" s="74">
        <v>0.05</v>
      </c>
      <c r="H225" s="74" t="s">
        <v>824</v>
      </c>
      <c r="I225" s="74">
        <v>0.05</v>
      </c>
      <c r="J225" s="75" t="s">
        <v>824</v>
      </c>
      <c r="K225" s="75"/>
      <c r="L225" s="75"/>
      <c r="M225" s="75"/>
      <c r="N225" s="75"/>
      <c r="O225" s="75"/>
      <c r="P225" s="75"/>
      <c r="Q225" s="75"/>
      <c r="R225" s="75"/>
      <c r="S225" s="75"/>
      <c r="T225" s="75"/>
      <c r="U225" s="75"/>
      <c r="V225" s="75"/>
      <c r="W225" s="74">
        <v>0.05</v>
      </c>
      <c r="X225" s="75" t="s">
        <v>824</v>
      </c>
      <c r="Y225" s="74">
        <v>0.05</v>
      </c>
      <c r="Z225" s="75"/>
      <c r="AA225" s="74">
        <v>0.05</v>
      </c>
      <c r="AB225" s="75" t="s">
        <v>824</v>
      </c>
      <c r="AC225" s="76">
        <v>0.05</v>
      </c>
      <c r="AD225" s="76" t="s">
        <v>824</v>
      </c>
      <c r="AE225" s="76">
        <v>0.05</v>
      </c>
      <c r="AF225" s="75" t="s">
        <v>824</v>
      </c>
      <c r="AG225" s="79">
        <v>0</v>
      </c>
      <c r="AH225" s="78">
        <v>0</v>
      </c>
      <c r="AI225" s="79">
        <v>0</v>
      </c>
      <c r="AJ225" s="78">
        <v>0</v>
      </c>
      <c r="AK225" s="79">
        <v>0</v>
      </c>
      <c r="AL225" s="79">
        <v>0</v>
      </c>
      <c r="AM225" s="80" t="str">
        <f t="shared" si="6"/>
        <v>15.07000</v>
      </c>
      <c r="AN225" t="str">
        <f t="shared" si="7"/>
        <v>15.07000</v>
      </c>
    </row>
    <row r="226" spans="2:40" ht="18" customHeight="1">
      <c r="B226" s="71">
        <v>221</v>
      </c>
      <c r="C226" s="81" t="s">
        <v>561</v>
      </c>
      <c r="D226" s="71" t="s">
        <v>1173</v>
      </c>
      <c r="E226" s="82" t="s">
        <v>1174</v>
      </c>
      <c r="F226" s="85" t="s">
        <v>838</v>
      </c>
      <c r="G226" s="74">
        <v>0.05</v>
      </c>
      <c r="H226" s="74" t="s">
        <v>824</v>
      </c>
      <c r="I226" s="74">
        <v>0.05</v>
      </c>
      <c r="J226" s="75" t="s">
        <v>824</v>
      </c>
      <c r="K226" s="75"/>
      <c r="L226" s="75"/>
      <c r="M226" s="75"/>
      <c r="N226" s="75"/>
      <c r="O226" s="75"/>
      <c r="P226" s="75"/>
      <c r="Q226" s="75"/>
      <c r="R226" s="75"/>
      <c r="S226" s="75"/>
      <c r="T226" s="75"/>
      <c r="U226" s="75"/>
      <c r="V226" s="75"/>
      <c r="W226" s="74">
        <v>0.05</v>
      </c>
      <c r="X226" s="75" t="s">
        <v>824</v>
      </c>
      <c r="Y226" s="74">
        <v>0.05</v>
      </c>
      <c r="Z226" s="75"/>
      <c r="AA226" s="74">
        <v>0.05</v>
      </c>
      <c r="AB226" s="75" t="s">
        <v>824</v>
      </c>
      <c r="AC226" s="76">
        <v>0.05</v>
      </c>
      <c r="AD226" s="76" t="s">
        <v>824</v>
      </c>
      <c r="AE226" s="76">
        <v>0.05</v>
      </c>
      <c r="AF226" s="75" t="s">
        <v>824</v>
      </c>
      <c r="AG226" s="79">
        <v>1.4999999999999999E-2</v>
      </c>
      <c r="AH226" s="78">
        <v>1708</v>
      </c>
      <c r="AI226" s="79">
        <v>4.65E-2</v>
      </c>
      <c r="AJ226" s="78">
        <v>5952</v>
      </c>
      <c r="AK226" s="79">
        <v>0</v>
      </c>
      <c r="AL226" s="79">
        <v>0</v>
      </c>
      <c r="AM226" s="80" t="str">
        <f t="shared" si="6"/>
        <v>15.080,0150,04650</v>
      </c>
      <c r="AN226" t="str">
        <f t="shared" si="7"/>
        <v>15.080,0150,04650</v>
      </c>
    </row>
    <row r="227" spans="2:40" ht="18" customHeight="1">
      <c r="B227" s="71">
        <v>222</v>
      </c>
      <c r="C227" s="81" t="s">
        <v>565</v>
      </c>
      <c r="D227" s="71" t="s">
        <v>1175</v>
      </c>
      <c r="E227" s="82" t="s">
        <v>1176</v>
      </c>
      <c r="F227" s="85" t="s">
        <v>838</v>
      </c>
      <c r="G227" s="74">
        <v>0.02</v>
      </c>
      <c r="H227" s="74" t="s">
        <v>824</v>
      </c>
      <c r="I227" s="74">
        <v>0.05</v>
      </c>
      <c r="J227" s="75" t="s">
        <v>824</v>
      </c>
      <c r="K227" s="75"/>
      <c r="L227" s="75"/>
      <c r="M227" s="75"/>
      <c r="N227" s="75"/>
      <c r="O227" s="75"/>
      <c r="P227" s="75"/>
      <c r="Q227" s="75"/>
      <c r="R227" s="75"/>
      <c r="S227" s="75"/>
      <c r="T227" s="75"/>
      <c r="U227" s="75"/>
      <c r="V227" s="75"/>
      <c r="W227" s="74">
        <v>0.05</v>
      </c>
      <c r="X227" s="75" t="s">
        <v>824</v>
      </c>
      <c r="Y227" s="74">
        <v>0.05</v>
      </c>
      <c r="Z227" s="75"/>
      <c r="AA227" s="74">
        <v>0.02</v>
      </c>
      <c r="AB227" s="75" t="s">
        <v>824</v>
      </c>
      <c r="AC227" s="76">
        <v>0.05</v>
      </c>
      <c r="AD227" s="76" t="s">
        <v>824</v>
      </c>
      <c r="AE227" s="76">
        <v>0.05</v>
      </c>
      <c r="AF227" s="75" t="s">
        <v>824</v>
      </c>
      <c r="AG227" s="79">
        <v>1.4999999999999999E-2</v>
      </c>
      <c r="AH227" s="78">
        <v>1708</v>
      </c>
      <c r="AI227" s="79">
        <v>4.65E-2</v>
      </c>
      <c r="AJ227" s="78">
        <v>5952</v>
      </c>
      <c r="AK227" s="79">
        <v>0</v>
      </c>
      <c r="AL227" s="79">
        <v>0</v>
      </c>
      <c r="AM227" s="80" t="str">
        <f t="shared" si="6"/>
        <v>15.090,0150,04650</v>
      </c>
      <c r="AN227" t="str">
        <f t="shared" si="7"/>
        <v>15.090,0150,04650</v>
      </c>
    </row>
    <row r="228" spans="2:40" ht="18" customHeight="1">
      <c r="B228" s="71">
        <v>223</v>
      </c>
      <c r="C228" s="81" t="s">
        <v>569</v>
      </c>
      <c r="D228" s="71" t="s">
        <v>1177</v>
      </c>
      <c r="E228" s="82" t="s">
        <v>1178</v>
      </c>
      <c r="F228" s="85" t="s">
        <v>838</v>
      </c>
      <c r="G228" s="74">
        <v>0.05</v>
      </c>
      <c r="H228" s="74" t="s">
        <v>824</v>
      </c>
      <c r="I228" s="74">
        <v>0.05</v>
      </c>
      <c r="J228" s="75" t="s">
        <v>824</v>
      </c>
      <c r="K228" s="75"/>
      <c r="L228" s="75"/>
      <c r="M228" s="75"/>
      <c r="N228" s="75"/>
      <c r="O228" s="75"/>
      <c r="P228" s="75"/>
      <c r="Q228" s="75"/>
      <c r="R228" s="75"/>
      <c r="S228" s="75"/>
      <c r="T228" s="75"/>
      <c r="U228" s="75"/>
      <c r="V228" s="75"/>
      <c r="W228" s="74">
        <v>0.05</v>
      </c>
      <c r="X228" s="75" t="s">
        <v>824</v>
      </c>
      <c r="Y228" s="74">
        <v>0.05</v>
      </c>
      <c r="Z228" s="75"/>
      <c r="AA228" s="74">
        <v>0.05</v>
      </c>
      <c r="AB228" s="75" t="s">
        <v>824</v>
      </c>
      <c r="AC228" s="76">
        <v>0.02</v>
      </c>
      <c r="AD228" s="76" t="s">
        <v>824</v>
      </c>
      <c r="AE228" s="76">
        <v>0.05</v>
      </c>
      <c r="AF228" s="75" t="s">
        <v>824</v>
      </c>
      <c r="AG228" s="79">
        <v>1.4999999999999999E-2</v>
      </c>
      <c r="AH228" s="78">
        <v>1708</v>
      </c>
      <c r="AI228" s="79">
        <v>4.65E-2</v>
      </c>
      <c r="AJ228" s="78">
        <v>5952</v>
      </c>
      <c r="AK228" s="79">
        <v>0</v>
      </c>
      <c r="AL228" s="79">
        <v>0</v>
      </c>
      <c r="AM228" s="80" t="str">
        <f t="shared" si="6"/>
        <v>15.100,0150,04650</v>
      </c>
      <c r="AN228" t="str">
        <f t="shared" si="7"/>
        <v>15.100,0150,04650</v>
      </c>
    </row>
    <row r="229" spans="2:40" ht="18" customHeight="1">
      <c r="B229" s="71">
        <v>224</v>
      </c>
      <c r="C229" s="81" t="s">
        <v>569</v>
      </c>
      <c r="D229" s="71" t="s">
        <v>1179</v>
      </c>
      <c r="E229" s="82" t="s">
        <v>1178</v>
      </c>
      <c r="F229" s="85" t="s">
        <v>1180</v>
      </c>
      <c r="G229" s="74">
        <v>0.05</v>
      </c>
      <c r="H229" s="74" t="s">
        <v>824</v>
      </c>
      <c r="I229" s="74">
        <v>0.05</v>
      </c>
      <c r="J229" s="75" t="s">
        <v>824</v>
      </c>
      <c r="K229" s="75"/>
      <c r="L229" s="75"/>
      <c r="M229" s="75"/>
      <c r="N229" s="75"/>
      <c r="O229" s="75"/>
      <c r="P229" s="75"/>
      <c r="Q229" s="75"/>
      <c r="R229" s="75"/>
      <c r="S229" s="75"/>
      <c r="T229" s="75"/>
      <c r="U229" s="75"/>
      <c r="V229" s="75"/>
      <c r="W229" s="74">
        <v>0.05</v>
      </c>
      <c r="X229" s="75" t="s">
        <v>824</v>
      </c>
      <c r="Y229" s="74">
        <v>0.05</v>
      </c>
      <c r="Z229" s="75"/>
      <c r="AA229" s="74">
        <v>0.05</v>
      </c>
      <c r="AB229" s="75" t="s">
        <v>824</v>
      </c>
      <c r="AC229" s="76">
        <v>0.02</v>
      </c>
      <c r="AD229" s="76" t="s">
        <v>824</v>
      </c>
      <c r="AE229" s="76">
        <v>0.05</v>
      </c>
      <c r="AF229" s="75" t="s">
        <v>824</v>
      </c>
      <c r="AG229" s="79">
        <v>0</v>
      </c>
      <c r="AH229" s="78">
        <v>0</v>
      </c>
      <c r="AI229" s="79">
        <v>0</v>
      </c>
      <c r="AJ229" s="78">
        <v>0</v>
      </c>
      <c r="AK229" s="79">
        <v>0</v>
      </c>
      <c r="AL229" s="79">
        <v>0</v>
      </c>
      <c r="AM229" s="80" t="str">
        <f t="shared" si="6"/>
        <v>15.10000</v>
      </c>
      <c r="AN229" t="str">
        <f t="shared" si="7"/>
        <v>15.10000</v>
      </c>
    </row>
    <row r="230" spans="2:40" ht="18" customHeight="1">
      <c r="B230" s="71">
        <v>225</v>
      </c>
      <c r="C230" s="81" t="s">
        <v>573</v>
      </c>
      <c r="D230" s="71" t="s">
        <v>1181</v>
      </c>
      <c r="E230" s="82" t="s">
        <v>1182</v>
      </c>
      <c r="F230" s="85" t="s">
        <v>838</v>
      </c>
      <c r="G230" s="74">
        <v>0.05</v>
      </c>
      <c r="H230" s="74" t="s">
        <v>824</v>
      </c>
      <c r="I230" s="74">
        <v>0.05</v>
      </c>
      <c r="J230" s="75" t="s">
        <v>824</v>
      </c>
      <c r="K230" s="75"/>
      <c r="L230" s="75"/>
      <c r="M230" s="75"/>
      <c r="N230" s="75"/>
      <c r="O230" s="75"/>
      <c r="P230" s="75"/>
      <c r="Q230" s="75"/>
      <c r="R230" s="75"/>
      <c r="S230" s="75"/>
      <c r="T230" s="75"/>
      <c r="U230" s="75"/>
      <c r="V230" s="75"/>
      <c r="W230" s="74">
        <v>0.05</v>
      </c>
      <c r="X230" s="75" t="s">
        <v>824</v>
      </c>
      <c r="Y230" s="74">
        <v>0.05</v>
      </c>
      <c r="Z230" s="75"/>
      <c r="AA230" s="74">
        <v>0.05</v>
      </c>
      <c r="AB230" s="75" t="s">
        <v>824</v>
      </c>
      <c r="AC230" s="76">
        <v>0.05</v>
      </c>
      <c r="AD230" s="76" t="s">
        <v>824</v>
      </c>
      <c r="AE230" s="76">
        <v>0.05</v>
      </c>
      <c r="AF230" s="75" t="s">
        <v>824</v>
      </c>
      <c r="AG230" s="79">
        <v>1.4999999999999999E-2</v>
      </c>
      <c r="AH230" s="78">
        <v>1708</v>
      </c>
      <c r="AI230" s="79">
        <v>4.65E-2</v>
      </c>
      <c r="AJ230" s="78">
        <v>5952</v>
      </c>
      <c r="AK230" s="79">
        <v>0</v>
      </c>
      <c r="AL230" s="79">
        <v>0</v>
      </c>
      <c r="AM230" s="80" t="str">
        <f t="shared" si="6"/>
        <v>15.110,0150,04650</v>
      </c>
      <c r="AN230" t="str">
        <f t="shared" si="7"/>
        <v>15.110,0150,04650</v>
      </c>
    </row>
    <row r="231" spans="2:40" ht="18" customHeight="1">
      <c r="B231" s="71">
        <v>226</v>
      </c>
      <c r="C231" s="81" t="s">
        <v>576</v>
      </c>
      <c r="D231" s="71" t="s">
        <v>1183</v>
      </c>
      <c r="E231" s="82" t="s">
        <v>1184</v>
      </c>
      <c r="F231" s="85" t="s">
        <v>838</v>
      </c>
      <c r="G231" s="74">
        <v>0.05</v>
      </c>
      <c r="H231" s="74" t="s">
        <v>824</v>
      </c>
      <c r="I231" s="74">
        <v>0.05</v>
      </c>
      <c r="J231" s="75" t="s">
        <v>824</v>
      </c>
      <c r="K231" s="75"/>
      <c r="L231" s="75"/>
      <c r="M231" s="75"/>
      <c r="N231" s="75"/>
      <c r="O231" s="75"/>
      <c r="P231" s="75"/>
      <c r="Q231" s="75"/>
      <c r="R231" s="75"/>
      <c r="S231" s="75"/>
      <c r="T231" s="75"/>
      <c r="U231" s="75"/>
      <c r="V231" s="75"/>
      <c r="W231" s="74">
        <v>0.05</v>
      </c>
      <c r="X231" s="75" t="s">
        <v>824</v>
      </c>
      <c r="Y231" s="74">
        <v>0.05</v>
      </c>
      <c r="Z231" s="75"/>
      <c r="AA231" s="74">
        <v>0.02</v>
      </c>
      <c r="AB231" s="75" t="s">
        <v>824</v>
      </c>
      <c r="AC231" s="76">
        <v>0.05</v>
      </c>
      <c r="AD231" s="76" t="s">
        <v>824</v>
      </c>
      <c r="AE231" s="76">
        <v>0.05</v>
      </c>
      <c r="AF231" s="75" t="s">
        <v>824</v>
      </c>
      <c r="AG231" s="79">
        <v>1.4999999999999999E-2</v>
      </c>
      <c r="AH231" s="78">
        <v>1708</v>
      </c>
      <c r="AI231" s="79">
        <v>4.65E-2</v>
      </c>
      <c r="AJ231" s="78">
        <v>5952</v>
      </c>
      <c r="AK231" s="79">
        <v>0</v>
      </c>
      <c r="AL231" s="79">
        <v>0</v>
      </c>
      <c r="AM231" s="80" t="str">
        <f t="shared" si="6"/>
        <v>15.120,0150,04650</v>
      </c>
      <c r="AN231" t="str">
        <f t="shared" si="7"/>
        <v>15.120,0150,04650</v>
      </c>
    </row>
    <row r="232" spans="2:40" ht="18" customHeight="1">
      <c r="B232" s="71">
        <v>227</v>
      </c>
      <c r="C232" s="81" t="s">
        <v>579</v>
      </c>
      <c r="D232" s="71" t="s">
        <v>1185</v>
      </c>
      <c r="E232" s="82" t="s">
        <v>1186</v>
      </c>
      <c r="F232" s="85" t="s">
        <v>838</v>
      </c>
      <c r="G232" s="74">
        <v>0.05</v>
      </c>
      <c r="H232" s="74" t="s">
        <v>824</v>
      </c>
      <c r="I232" s="74">
        <v>0.05</v>
      </c>
      <c r="J232" s="75" t="s">
        <v>824</v>
      </c>
      <c r="K232" s="79"/>
      <c r="L232" s="79"/>
      <c r="M232" s="78"/>
      <c r="N232" s="78"/>
      <c r="O232" s="75"/>
      <c r="P232" s="75"/>
      <c r="Q232" s="75"/>
      <c r="R232" s="75"/>
      <c r="S232" s="75"/>
      <c r="T232" s="75"/>
      <c r="U232" s="75"/>
      <c r="V232" s="75"/>
      <c r="W232" s="74">
        <v>0.05</v>
      </c>
      <c r="X232" s="75" t="s">
        <v>824</v>
      </c>
      <c r="Y232" s="74">
        <v>0.05</v>
      </c>
      <c r="Z232" s="75"/>
      <c r="AA232" s="74">
        <v>0.05</v>
      </c>
      <c r="AB232" s="75" t="s">
        <v>824</v>
      </c>
      <c r="AC232" s="76">
        <v>0.05</v>
      </c>
      <c r="AD232" s="76" t="s">
        <v>824</v>
      </c>
      <c r="AE232" s="76">
        <v>0.05</v>
      </c>
      <c r="AF232" s="75" t="s">
        <v>824</v>
      </c>
      <c r="AG232" s="79">
        <v>1.4999999999999999E-2</v>
      </c>
      <c r="AH232" s="78">
        <v>1708</v>
      </c>
      <c r="AI232" s="79">
        <v>4.65E-2</v>
      </c>
      <c r="AJ232" s="78">
        <v>5952</v>
      </c>
      <c r="AK232" s="79">
        <v>0</v>
      </c>
      <c r="AL232" s="79">
        <v>0</v>
      </c>
      <c r="AM232" s="80" t="str">
        <f t="shared" si="6"/>
        <v>15.130,0150,04650</v>
      </c>
      <c r="AN232" t="str">
        <f t="shared" si="7"/>
        <v>15.130,0150,04650</v>
      </c>
    </row>
    <row r="233" spans="2:40" ht="18" customHeight="1">
      <c r="B233" s="71">
        <v>228</v>
      </c>
      <c r="C233" s="81" t="s">
        <v>583</v>
      </c>
      <c r="D233" s="71" t="s">
        <v>1187</v>
      </c>
      <c r="E233" s="82" t="s">
        <v>1188</v>
      </c>
      <c r="F233" s="85" t="s">
        <v>838</v>
      </c>
      <c r="G233" s="74">
        <v>0.05</v>
      </c>
      <c r="H233" s="74" t="s">
        <v>824</v>
      </c>
      <c r="I233" s="74">
        <v>0.05</v>
      </c>
      <c r="J233" s="75" t="s">
        <v>824</v>
      </c>
      <c r="K233" s="75"/>
      <c r="L233" s="75"/>
      <c r="M233" s="75"/>
      <c r="N233" s="75"/>
      <c r="O233" s="75"/>
      <c r="P233" s="75"/>
      <c r="Q233" s="75"/>
      <c r="R233" s="75"/>
      <c r="S233" s="75"/>
      <c r="T233" s="75"/>
      <c r="U233" s="75"/>
      <c r="V233" s="75"/>
      <c r="W233" s="74">
        <v>0.05</v>
      </c>
      <c r="X233" s="75" t="s">
        <v>824</v>
      </c>
      <c r="Y233" s="74">
        <v>0.05</v>
      </c>
      <c r="Z233" s="75"/>
      <c r="AA233" s="74">
        <v>0.02</v>
      </c>
      <c r="AB233" s="75" t="s">
        <v>824</v>
      </c>
      <c r="AC233" s="76">
        <v>0.05</v>
      </c>
      <c r="AD233" s="76" t="s">
        <v>824</v>
      </c>
      <c r="AE233" s="76">
        <v>0.05</v>
      </c>
      <c r="AF233" s="75" t="s">
        <v>824</v>
      </c>
      <c r="AG233" s="79">
        <v>1.4999999999999999E-2</v>
      </c>
      <c r="AH233" s="78">
        <v>1708</v>
      </c>
      <c r="AI233" s="79">
        <v>4.65E-2</v>
      </c>
      <c r="AJ233" s="78">
        <v>5952</v>
      </c>
      <c r="AK233" s="79">
        <v>0</v>
      </c>
      <c r="AL233" s="79">
        <v>0</v>
      </c>
      <c r="AM233" s="80" t="str">
        <f t="shared" si="6"/>
        <v>15.140,0150,04650</v>
      </c>
      <c r="AN233" t="str">
        <f t="shared" si="7"/>
        <v>15.140,0150,04650</v>
      </c>
    </row>
    <row r="234" spans="2:40" ht="18" customHeight="1">
      <c r="B234" s="71">
        <v>229</v>
      </c>
      <c r="C234" s="81" t="s">
        <v>586</v>
      </c>
      <c r="D234" s="71" t="s">
        <v>1189</v>
      </c>
      <c r="E234" s="82" t="s">
        <v>1190</v>
      </c>
      <c r="F234" s="85" t="s">
        <v>838</v>
      </c>
      <c r="G234" s="74">
        <v>0.05</v>
      </c>
      <c r="H234" s="74" t="s">
        <v>824</v>
      </c>
      <c r="I234" s="74">
        <v>0.05</v>
      </c>
      <c r="J234" s="75" t="s">
        <v>824</v>
      </c>
      <c r="K234" s="75"/>
      <c r="L234" s="75"/>
      <c r="M234" s="75"/>
      <c r="N234" s="75"/>
      <c r="O234" s="75"/>
      <c r="P234" s="75"/>
      <c r="Q234" s="75"/>
      <c r="R234" s="75"/>
      <c r="S234" s="75"/>
      <c r="T234" s="75"/>
      <c r="U234" s="75"/>
      <c r="V234" s="75"/>
      <c r="W234" s="74">
        <v>0.05</v>
      </c>
      <c r="X234" s="75" t="s">
        <v>824</v>
      </c>
      <c r="Y234" s="74">
        <v>0.05</v>
      </c>
      <c r="Z234" s="75"/>
      <c r="AA234" s="74">
        <v>0.02</v>
      </c>
      <c r="AB234" s="75" t="s">
        <v>824</v>
      </c>
      <c r="AC234" s="76">
        <v>0.05</v>
      </c>
      <c r="AD234" s="76" t="s">
        <v>824</v>
      </c>
      <c r="AE234" s="76">
        <v>0.05</v>
      </c>
      <c r="AF234" s="75" t="s">
        <v>824</v>
      </c>
      <c r="AG234" s="79">
        <v>1.4999999999999999E-2</v>
      </c>
      <c r="AH234" s="78">
        <v>1708</v>
      </c>
      <c r="AI234" s="79">
        <v>4.65E-2</v>
      </c>
      <c r="AJ234" s="78">
        <v>5952</v>
      </c>
      <c r="AK234" s="79">
        <v>0</v>
      </c>
      <c r="AL234" s="79">
        <v>0</v>
      </c>
      <c r="AM234" s="80" t="str">
        <f t="shared" si="6"/>
        <v>15.150,0150,04650</v>
      </c>
      <c r="AN234" t="str">
        <f t="shared" si="7"/>
        <v>15.150,0150,04650</v>
      </c>
    </row>
    <row r="235" spans="2:40" ht="18" customHeight="1">
      <c r="B235" s="71">
        <v>230</v>
      </c>
      <c r="C235" s="81" t="s">
        <v>590</v>
      </c>
      <c r="D235" s="71" t="s">
        <v>1191</v>
      </c>
      <c r="E235" s="82" t="s">
        <v>1192</v>
      </c>
      <c r="F235" s="85" t="s">
        <v>838</v>
      </c>
      <c r="G235" s="74">
        <v>0.05</v>
      </c>
      <c r="H235" s="74" t="s">
        <v>824</v>
      </c>
      <c r="I235" s="74">
        <v>0.05</v>
      </c>
      <c r="J235" s="75" t="s">
        <v>824</v>
      </c>
      <c r="K235" s="75"/>
      <c r="L235" s="75"/>
      <c r="M235" s="75"/>
      <c r="N235" s="75"/>
      <c r="O235" s="75"/>
      <c r="P235" s="75"/>
      <c r="Q235" s="75"/>
      <c r="R235" s="75"/>
      <c r="S235" s="75"/>
      <c r="T235" s="75"/>
      <c r="U235" s="75"/>
      <c r="V235" s="75"/>
      <c r="W235" s="74">
        <v>0.05</v>
      </c>
      <c r="X235" s="75" t="s">
        <v>824</v>
      </c>
      <c r="Y235" s="74">
        <v>0.05</v>
      </c>
      <c r="Z235" s="75"/>
      <c r="AA235" s="74">
        <v>0.02</v>
      </c>
      <c r="AB235" s="75" t="s">
        <v>824</v>
      </c>
      <c r="AC235" s="76">
        <v>0.05</v>
      </c>
      <c r="AD235" s="76" t="s">
        <v>824</v>
      </c>
      <c r="AE235" s="76">
        <v>0.05</v>
      </c>
      <c r="AF235" s="75" t="s">
        <v>824</v>
      </c>
      <c r="AG235" s="79">
        <v>1.4999999999999999E-2</v>
      </c>
      <c r="AH235" s="78">
        <v>1708</v>
      </c>
      <c r="AI235" s="79">
        <v>4.65E-2</v>
      </c>
      <c r="AJ235" s="78">
        <v>5952</v>
      </c>
      <c r="AK235" s="79">
        <v>0</v>
      </c>
      <c r="AL235" s="79">
        <v>0</v>
      </c>
      <c r="AM235" s="80" t="str">
        <f t="shared" si="6"/>
        <v>15.160,0150,04650</v>
      </c>
      <c r="AN235" t="str">
        <f t="shared" si="7"/>
        <v>15.160,0150,04650</v>
      </c>
    </row>
    <row r="236" spans="2:40" ht="18" customHeight="1">
      <c r="B236" s="71">
        <v>231</v>
      </c>
      <c r="C236" s="81" t="s">
        <v>594</v>
      </c>
      <c r="D236" s="71" t="s">
        <v>1193</v>
      </c>
      <c r="E236" s="82" t="s">
        <v>1194</v>
      </c>
      <c r="F236" s="85" t="s">
        <v>838</v>
      </c>
      <c r="G236" s="74">
        <v>0.05</v>
      </c>
      <c r="H236" s="74" t="s">
        <v>824</v>
      </c>
      <c r="I236" s="74">
        <v>0.05</v>
      </c>
      <c r="J236" s="75" t="s">
        <v>824</v>
      </c>
      <c r="K236" s="75"/>
      <c r="L236" s="75"/>
      <c r="M236" s="75"/>
      <c r="N236" s="75"/>
      <c r="O236" s="75"/>
      <c r="P236" s="75"/>
      <c r="Q236" s="75"/>
      <c r="R236" s="75"/>
      <c r="S236" s="75"/>
      <c r="T236" s="75"/>
      <c r="U236" s="75"/>
      <c r="V236" s="75"/>
      <c r="W236" s="74">
        <v>0.05</v>
      </c>
      <c r="X236" s="75" t="s">
        <v>824</v>
      </c>
      <c r="Y236" s="74">
        <v>0.05</v>
      </c>
      <c r="Z236" s="75"/>
      <c r="AA236" s="74">
        <v>0.05</v>
      </c>
      <c r="AB236" s="75" t="s">
        <v>824</v>
      </c>
      <c r="AC236" s="76">
        <v>0.05</v>
      </c>
      <c r="AD236" s="76" t="s">
        <v>824</v>
      </c>
      <c r="AE236" s="76">
        <v>0.05</v>
      </c>
      <c r="AF236" s="75" t="s">
        <v>824</v>
      </c>
      <c r="AG236" s="79">
        <v>1.4999999999999999E-2</v>
      </c>
      <c r="AH236" s="78">
        <v>1708</v>
      </c>
      <c r="AI236" s="79">
        <v>4.65E-2</v>
      </c>
      <c r="AJ236" s="78">
        <v>5952</v>
      </c>
      <c r="AK236" s="79">
        <v>0</v>
      </c>
      <c r="AL236" s="79">
        <v>0</v>
      </c>
      <c r="AM236" s="80" t="str">
        <f t="shared" si="6"/>
        <v>15.170,0150,04650</v>
      </c>
      <c r="AN236" t="str">
        <f t="shared" si="7"/>
        <v>15.170,0150,04650</v>
      </c>
    </row>
    <row r="237" spans="2:40" ht="18" customHeight="1">
      <c r="B237" s="71">
        <v>232</v>
      </c>
      <c r="C237" s="81" t="s">
        <v>597</v>
      </c>
      <c r="D237" s="71" t="s">
        <v>1195</v>
      </c>
      <c r="E237" s="82" t="s">
        <v>1196</v>
      </c>
      <c r="F237" s="85" t="s">
        <v>838</v>
      </c>
      <c r="G237" s="74">
        <v>0.05</v>
      </c>
      <c r="H237" s="74" t="s">
        <v>824</v>
      </c>
      <c r="I237" s="74">
        <v>0.05</v>
      </c>
      <c r="J237" s="75" t="s">
        <v>824</v>
      </c>
      <c r="K237" s="75"/>
      <c r="L237" s="75"/>
      <c r="M237" s="75"/>
      <c r="N237" s="75"/>
      <c r="O237" s="75"/>
      <c r="P237" s="75"/>
      <c r="Q237" s="75"/>
      <c r="R237" s="75"/>
      <c r="S237" s="75"/>
      <c r="T237" s="75"/>
      <c r="U237" s="75"/>
      <c r="V237" s="75"/>
      <c r="W237" s="74">
        <v>0.05</v>
      </c>
      <c r="X237" s="75" t="s">
        <v>824</v>
      </c>
      <c r="Y237" s="74">
        <v>0.05</v>
      </c>
      <c r="Z237" s="75"/>
      <c r="AA237" s="74">
        <v>0.05</v>
      </c>
      <c r="AB237" s="75" t="s">
        <v>824</v>
      </c>
      <c r="AC237" s="76">
        <v>0.05</v>
      </c>
      <c r="AD237" s="76" t="s">
        <v>824</v>
      </c>
      <c r="AE237" s="76">
        <v>0.05</v>
      </c>
      <c r="AF237" s="75" t="s">
        <v>824</v>
      </c>
      <c r="AG237" s="79">
        <v>1.4999999999999999E-2</v>
      </c>
      <c r="AH237" s="78">
        <v>1708</v>
      </c>
      <c r="AI237" s="79">
        <v>4.65E-2</v>
      </c>
      <c r="AJ237" s="78">
        <v>5952</v>
      </c>
      <c r="AK237" s="79">
        <v>0</v>
      </c>
      <c r="AL237" s="79">
        <v>0</v>
      </c>
      <c r="AM237" s="80" t="str">
        <f t="shared" si="6"/>
        <v>15.180,0150,04650</v>
      </c>
      <c r="AN237" t="str">
        <f t="shared" si="7"/>
        <v>15.180,0150,04650</v>
      </c>
    </row>
    <row r="238" spans="2:40" ht="18" customHeight="1">
      <c r="B238" s="71">
        <v>233</v>
      </c>
      <c r="C238" s="81" t="s">
        <v>601</v>
      </c>
      <c r="D238" s="71" t="s">
        <v>1197</v>
      </c>
      <c r="E238" s="82" t="s">
        <v>1198</v>
      </c>
      <c r="F238" s="85" t="s">
        <v>838</v>
      </c>
      <c r="G238" s="74">
        <v>0.02</v>
      </c>
      <c r="H238" s="77" t="s">
        <v>870</v>
      </c>
      <c r="I238" s="74">
        <v>0.03</v>
      </c>
      <c r="J238" s="75" t="s">
        <v>849</v>
      </c>
      <c r="K238" s="79"/>
      <c r="L238" s="79"/>
      <c r="M238" s="78"/>
      <c r="N238" s="78"/>
      <c r="O238" s="86" t="s">
        <v>825</v>
      </c>
      <c r="P238" s="86"/>
      <c r="Q238" s="79" t="s">
        <v>825</v>
      </c>
      <c r="R238" s="79"/>
      <c r="S238" s="75"/>
      <c r="T238" s="75"/>
      <c r="U238" s="75"/>
      <c r="V238" s="75"/>
      <c r="W238" s="74">
        <v>0.02</v>
      </c>
      <c r="X238" s="75" t="s">
        <v>849</v>
      </c>
      <c r="Y238" s="74">
        <v>0.05</v>
      </c>
      <c r="Z238" s="75"/>
      <c r="AA238" s="74">
        <v>0.02</v>
      </c>
      <c r="AB238" s="75" t="s">
        <v>824</v>
      </c>
      <c r="AC238" s="76">
        <v>0.02</v>
      </c>
      <c r="AD238" s="89" t="s">
        <v>849</v>
      </c>
      <c r="AE238" s="76">
        <v>0.02</v>
      </c>
      <c r="AF238" s="75" t="s">
        <v>870</v>
      </c>
      <c r="AG238" s="79">
        <v>0</v>
      </c>
      <c r="AH238" s="78">
        <v>0</v>
      </c>
      <c r="AI238" s="79">
        <v>0</v>
      </c>
      <c r="AJ238" s="78">
        <v>0</v>
      </c>
      <c r="AK238" s="79">
        <v>0</v>
      </c>
      <c r="AL238" s="79">
        <v>0</v>
      </c>
      <c r="AM238" s="80" t="str">
        <f t="shared" si="6"/>
        <v>16.01000</v>
      </c>
      <c r="AN238" t="str">
        <f t="shared" si="7"/>
        <v>16.01000</v>
      </c>
    </row>
    <row r="239" spans="2:40" ht="18" customHeight="1">
      <c r="B239" s="71">
        <v>234</v>
      </c>
      <c r="C239" s="81" t="s">
        <v>601</v>
      </c>
      <c r="D239" s="71" t="s">
        <v>1199</v>
      </c>
      <c r="E239" s="82" t="s">
        <v>1198</v>
      </c>
      <c r="F239" s="85" t="s">
        <v>1200</v>
      </c>
      <c r="G239" s="74">
        <v>0.02</v>
      </c>
      <c r="H239" s="77" t="s">
        <v>870</v>
      </c>
      <c r="I239" s="74">
        <v>0.03</v>
      </c>
      <c r="J239" s="75" t="s">
        <v>849</v>
      </c>
      <c r="K239" s="79"/>
      <c r="L239" s="79"/>
      <c r="M239" s="78"/>
      <c r="N239" s="78"/>
      <c r="O239" s="86"/>
      <c r="P239" s="86"/>
      <c r="Q239" s="79"/>
      <c r="R239" s="79"/>
      <c r="S239" s="75"/>
      <c r="T239" s="75"/>
      <c r="U239" s="75"/>
      <c r="V239" s="75"/>
      <c r="W239" s="74">
        <v>0.02</v>
      </c>
      <c r="X239" s="75" t="s">
        <v>849</v>
      </c>
      <c r="Y239" s="74">
        <v>0.05</v>
      </c>
      <c r="Z239" s="75"/>
      <c r="AA239" s="74">
        <v>0.02</v>
      </c>
      <c r="AB239" s="75" t="s">
        <v>824</v>
      </c>
      <c r="AC239" s="76">
        <v>0.02</v>
      </c>
      <c r="AD239" s="89" t="s">
        <v>849</v>
      </c>
      <c r="AE239" s="76">
        <v>0.02</v>
      </c>
      <c r="AF239" s="75" t="s">
        <v>870</v>
      </c>
      <c r="AG239" s="79">
        <v>0</v>
      </c>
      <c r="AH239" s="78">
        <v>0</v>
      </c>
      <c r="AI239" s="79">
        <v>0</v>
      </c>
      <c r="AJ239" s="78">
        <v>0</v>
      </c>
      <c r="AK239" s="79">
        <v>0.11</v>
      </c>
      <c r="AL239" s="79">
        <v>3.5000000000000003E-2</v>
      </c>
      <c r="AM239" s="80" t="str">
        <f t="shared" si="6"/>
        <v>16.01000,11</v>
      </c>
      <c r="AN239" t="str">
        <f t="shared" si="7"/>
        <v>16.01000,035</v>
      </c>
    </row>
    <row r="240" spans="2:40" ht="18" customHeight="1">
      <c r="B240" s="71">
        <v>235</v>
      </c>
      <c r="C240" s="81" t="s">
        <v>601</v>
      </c>
      <c r="D240" s="71" t="s">
        <v>1201</v>
      </c>
      <c r="E240" s="82" t="s">
        <v>1198</v>
      </c>
      <c r="F240" s="85" t="s">
        <v>1202</v>
      </c>
      <c r="G240" s="74">
        <v>0.02</v>
      </c>
      <c r="H240" s="77" t="s">
        <v>870</v>
      </c>
      <c r="I240" s="74">
        <v>0.03</v>
      </c>
      <c r="J240" s="75" t="s">
        <v>849</v>
      </c>
      <c r="K240" s="79"/>
      <c r="L240" s="79"/>
      <c r="M240" s="78"/>
      <c r="N240" s="78"/>
      <c r="O240" s="86" t="s">
        <v>825</v>
      </c>
      <c r="P240" s="86"/>
      <c r="Q240" s="79" t="s">
        <v>825</v>
      </c>
      <c r="R240" s="79"/>
      <c r="S240" s="91"/>
      <c r="T240" s="91"/>
      <c r="U240" s="91"/>
      <c r="V240" s="91"/>
      <c r="W240" s="74">
        <v>0.02</v>
      </c>
      <c r="X240" s="75" t="s">
        <v>849</v>
      </c>
      <c r="Y240" s="74">
        <v>0.05</v>
      </c>
      <c r="Z240" s="91"/>
      <c r="AA240" s="74">
        <v>0.02</v>
      </c>
      <c r="AB240" s="75" t="s">
        <v>824</v>
      </c>
      <c r="AC240" s="76">
        <v>0.02</v>
      </c>
      <c r="AD240" s="89" t="s">
        <v>849</v>
      </c>
      <c r="AE240" s="76">
        <v>0.02</v>
      </c>
      <c r="AF240" s="75" t="s">
        <v>870</v>
      </c>
      <c r="AG240" s="79">
        <v>1.4999999999999999E-2</v>
      </c>
      <c r="AH240" s="78">
        <v>3280</v>
      </c>
      <c r="AI240" s="79">
        <v>0</v>
      </c>
      <c r="AJ240" s="78">
        <v>0</v>
      </c>
      <c r="AK240" s="79">
        <v>0</v>
      </c>
      <c r="AL240" s="79">
        <v>0</v>
      </c>
      <c r="AM240" s="80" t="str">
        <f t="shared" si="6"/>
        <v>16.010,01500</v>
      </c>
      <c r="AN240" t="str">
        <f t="shared" si="7"/>
        <v>16.010,01500</v>
      </c>
    </row>
    <row r="241" spans="2:40" ht="18" customHeight="1">
      <c r="B241" s="71">
        <v>236</v>
      </c>
      <c r="C241" s="81" t="s">
        <v>605</v>
      </c>
      <c r="D241" s="71" t="s">
        <v>1203</v>
      </c>
      <c r="E241" s="94" t="s">
        <v>1204</v>
      </c>
      <c r="F241" s="85" t="s">
        <v>838</v>
      </c>
      <c r="G241" s="74">
        <v>0.05</v>
      </c>
      <c r="H241" s="74" t="s">
        <v>870</v>
      </c>
      <c r="I241" s="74">
        <v>0.02</v>
      </c>
      <c r="J241" s="75" t="s">
        <v>849</v>
      </c>
      <c r="K241" s="91"/>
      <c r="L241" s="91"/>
      <c r="M241" s="91"/>
      <c r="N241" s="91"/>
      <c r="O241" s="91"/>
      <c r="P241" s="91"/>
      <c r="Q241" s="91"/>
      <c r="R241" s="91"/>
      <c r="S241" s="91"/>
      <c r="T241" s="91"/>
      <c r="U241" s="91"/>
      <c r="V241" s="91"/>
      <c r="W241" s="74">
        <v>0.05</v>
      </c>
      <c r="X241" s="75" t="s">
        <v>849</v>
      </c>
      <c r="Y241" s="74">
        <v>0.05</v>
      </c>
      <c r="Z241" s="91"/>
      <c r="AA241" s="74">
        <v>0.05</v>
      </c>
      <c r="AB241" s="75" t="s">
        <v>824</v>
      </c>
      <c r="AC241" s="76">
        <v>0.02</v>
      </c>
      <c r="AD241" s="76" t="s">
        <v>824</v>
      </c>
      <c r="AE241" s="76">
        <v>0.02</v>
      </c>
      <c r="AF241" s="75" t="s">
        <v>870</v>
      </c>
      <c r="AG241" s="79">
        <v>0</v>
      </c>
      <c r="AH241" s="78">
        <v>0</v>
      </c>
      <c r="AI241" s="79">
        <v>0</v>
      </c>
      <c r="AJ241" s="78">
        <v>0</v>
      </c>
      <c r="AK241" s="79">
        <v>0</v>
      </c>
      <c r="AL241" s="79">
        <v>0</v>
      </c>
      <c r="AM241" s="80" t="str">
        <f t="shared" si="6"/>
        <v>16.02000</v>
      </c>
      <c r="AN241" t="str">
        <f t="shared" si="7"/>
        <v>16.02000</v>
      </c>
    </row>
    <row r="242" spans="2:40" ht="18" customHeight="1">
      <c r="B242" s="71">
        <v>237</v>
      </c>
      <c r="C242" s="81" t="s">
        <v>605</v>
      </c>
      <c r="D242" s="71" t="s">
        <v>1205</v>
      </c>
      <c r="E242" s="94" t="s">
        <v>1204</v>
      </c>
      <c r="F242" s="85" t="s">
        <v>1202</v>
      </c>
      <c r="G242" s="74">
        <v>0.05</v>
      </c>
      <c r="H242" s="74" t="s">
        <v>870</v>
      </c>
      <c r="I242" s="74">
        <v>0.02</v>
      </c>
      <c r="J242" s="75" t="s">
        <v>849</v>
      </c>
      <c r="K242" s="91"/>
      <c r="L242" s="91"/>
      <c r="M242" s="74"/>
      <c r="N242" s="74"/>
      <c r="O242" s="74"/>
      <c r="P242" s="74"/>
      <c r="Q242" s="74"/>
      <c r="R242" s="74"/>
      <c r="S242" s="74"/>
      <c r="T242" s="74"/>
      <c r="U242" s="74"/>
      <c r="V242" s="74"/>
      <c r="W242" s="74">
        <v>0.05</v>
      </c>
      <c r="X242" s="75" t="s">
        <v>849</v>
      </c>
      <c r="Y242" s="74">
        <v>0.05</v>
      </c>
      <c r="Z242" s="74"/>
      <c r="AA242" s="74">
        <v>0.05</v>
      </c>
      <c r="AB242" s="75" t="s">
        <v>824</v>
      </c>
      <c r="AC242" s="76">
        <v>0.02</v>
      </c>
      <c r="AD242" s="76" t="s">
        <v>824</v>
      </c>
      <c r="AE242" s="76">
        <v>0.02</v>
      </c>
      <c r="AF242" s="75" t="s">
        <v>870</v>
      </c>
      <c r="AG242" s="79">
        <v>1.4999999999999999E-2</v>
      </c>
      <c r="AH242" s="78">
        <v>3280</v>
      </c>
      <c r="AI242" s="79">
        <v>0</v>
      </c>
      <c r="AJ242" s="78">
        <v>0</v>
      </c>
      <c r="AK242" s="79">
        <v>0</v>
      </c>
      <c r="AL242" s="79">
        <v>0</v>
      </c>
      <c r="AM242" s="80" t="str">
        <f t="shared" si="6"/>
        <v>16.020,01500</v>
      </c>
      <c r="AN242" t="str">
        <f t="shared" si="7"/>
        <v>16.020,01500</v>
      </c>
    </row>
    <row r="243" spans="2:40" ht="18" customHeight="1">
      <c r="B243" s="71">
        <v>238</v>
      </c>
      <c r="C243" s="81" t="s">
        <v>608</v>
      </c>
      <c r="D243" s="71" t="s">
        <v>1206</v>
      </c>
      <c r="E243" s="82" t="s">
        <v>610</v>
      </c>
      <c r="F243" s="85" t="s">
        <v>838</v>
      </c>
      <c r="G243" s="74">
        <v>0.05</v>
      </c>
      <c r="H243" s="74" t="s">
        <v>824</v>
      </c>
      <c r="I243" s="74">
        <v>0.05</v>
      </c>
      <c r="J243" s="75" t="s">
        <v>824</v>
      </c>
      <c r="K243" s="91"/>
      <c r="L243" s="91"/>
      <c r="M243" s="74"/>
      <c r="N243" s="74"/>
      <c r="O243" s="74"/>
      <c r="P243" s="74"/>
      <c r="Q243" s="74"/>
      <c r="R243" s="74"/>
      <c r="S243" s="74"/>
      <c r="T243" s="74"/>
      <c r="U243" s="74"/>
      <c r="V243" s="74"/>
      <c r="W243" s="74">
        <v>0.05</v>
      </c>
      <c r="X243" s="75" t="s">
        <v>849</v>
      </c>
      <c r="Y243" s="74">
        <v>0.05</v>
      </c>
      <c r="Z243" s="74"/>
      <c r="AA243" s="74">
        <v>0.05</v>
      </c>
      <c r="AB243" s="75" t="s">
        <v>824</v>
      </c>
      <c r="AC243" s="76">
        <v>0.05</v>
      </c>
      <c r="AD243" s="76" t="s">
        <v>824</v>
      </c>
      <c r="AE243" s="76">
        <v>0.02</v>
      </c>
      <c r="AF243" s="75" t="s">
        <v>824</v>
      </c>
      <c r="AG243" s="79">
        <v>0</v>
      </c>
      <c r="AH243" s="78">
        <v>0</v>
      </c>
      <c r="AI243" s="79">
        <v>0</v>
      </c>
      <c r="AJ243" s="78">
        <v>0</v>
      </c>
      <c r="AK243" s="79">
        <v>0</v>
      </c>
      <c r="AL243" s="79">
        <v>0</v>
      </c>
      <c r="AM243" s="80" t="str">
        <f t="shared" si="6"/>
        <v>17.01000</v>
      </c>
      <c r="AN243" t="str">
        <f t="shared" si="7"/>
        <v>17.01000</v>
      </c>
    </row>
    <row r="244" spans="2:40" ht="18" customHeight="1">
      <c r="B244" s="71">
        <v>239</v>
      </c>
      <c r="C244" s="81" t="s">
        <v>608</v>
      </c>
      <c r="D244" s="71" t="s">
        <v>1207</v>
      </c>
      <c r="E244" s="82" t="s">
        <v>610</v>
      </c>
      <c r="F244" s="85" t="s">
        <v>840</v>
      </c>
      <c r="G244" s="74">
        <v>0.05</v>
      </c>
      <c r="H244" s="74" t="s">
        <v>824</v>
      </c>
      <c r="I244" s="74">
        <v>0.05</v>
      </c>
      <c r="J244" s="75" t="s">
        <v>824</v>
      </c>
      <c r="K244" s="91"/>
      <c r="L244" s="91"/>
      <c r="M244" s="74"/>
      <c r="N244" s="74"/>
      <c r="O244" s="74"/>
      <c r="P244" s="74"/>
      <c r="Q244" s="74"/>
      <c r="R244" s="74"/>
      <c r="S244" s="74"/>
      <c r="T244" s="74"/>
      <c r="U244" s="74"/>
      <c r="V244" s="74"/>
      <c r="W244" s="74">
        <v>0.05</v>
      </c>
      <c r="X244" s="75" t="s">
        <v>849</v>
      </c>
      <c r="Y244" s="74">
        <v>0.05</v>
      </c>
      <c r="Z244" s="74"/>
      <c r="AA244" s="74">
        <v>0.05</v>
      </c>
      <c r="AB244" s="75" t="s">
        <v>824</v>
      </c>
      <c r="AC244" s="76">
        <v>0.05</v>
      </c>
      <c r="AD244" s="76" t="s">
        <v>824</v>
      </c>
      <c r="AE244" s="76">
        <v>0.02</v>
      </c>
      <c r="AF244" s="75" t="s">
        <v>824</v>
      </c>
      <c r="AG244" s="79">
        <v>0</v>
      </c>
      <c r="AH244" s="78">
        <v>0</v>
      </c>
      <c r="AI244" s="79">
        <v>0</v>
      </c>
      <c r="AJ244" s="78">
        <v>0</v>
      </c>
      <c r="AK244" s="79">
        <v>0.11</v>
      </c>
      <c r="AL244" s="79">
        <v>3.5000000000000003E-2</v>
      </c>
      <c r="AM244" s="80" t="str">
        <f t="shared" si="6"/>
        <v>17.01000,11</v>
      </c>
      <c r="AN244" t="str">
        <f t="shared" si="7"/>
        <v>17.01000,035</v>
      </c>
    </row>
    <row r="245" spans="2:40" ht="18" customHeight="1">
      <c r="B245" s="71">
        <v>240</v>
      </c>
      <c r="C245" s="81" t="s">
        <v>608</v>
      </c>
      <c r="D245" s="71" t="s">
        <v>1208</v>
      </c>
      <c r="E245" s="82" t="s">
        <v>610</v>
      </c>
      <c r="F245" s="85" t="s">
        <v>1209</v>
      </c>
      <c r="G245" s="74">
        <v>0.05</v>
      </c>
      <c r="H245" s="74" t="s">
        <v>824</v>
      </c>
      <c r="I245" s="74">
        <v>0.05</v>
      </c>
      <c r="J245" s="75" t="s">
        <v>824</v>
      </c>
      <c r="K245" s="91"/>
      <c r="L245" s="91"/>
      <c r="M245" s="74"/>
      <c r="N245" s="74"/>
      <c r="O245" s="74"/>
      <c r="P245" s="74"/>
      <c r="Q245" s="74"/>
      <c r="R245" s="74"/>
      <c r="S245" s="74"/>
      <c r="T245" s="74"/>
      <c r="U245" s="74"/>
      <c r="V245" s="74"/>
      <c r="W245" s="74">
        <v>0.05</v>
      </c>
      <c r="X245" s="75" t="s">
        <v>849</v>
      </c>
      <c r="Y245" s="74">
        <v>0.05</v>
      </c>
      <c r="Z245" s="74"/>
      <c r="AA245" s="74">
        <v>0.05</v>
      </c>
      <c r="AB245" s="75" t="s">
        <v>824</v>
      </c>
      <c r="AC245" s="76">
        <v>0.05</v>
      </c>
      <c r="AD245" s="76" t="s">
        <v>824</v>
      </c>
      <c r="AE245" s="76">
        <v>0.02</v>
      </c>
      <c r="AF245" s="75" t="s">
        <v>824</v>
      </c>
      <c r="AG245" s="79">
        <v>1.4999999999999999E-2</v>
      </c>
      <c r="AH245" s="78">
        <v>1708</v>
      </c>
      <c r="AI245" s="79">
        <v>4.65E-2</v>
      </c>
      <c r="AJ245" s="78">
        <v>5952</v>
      </c>
      <c r="AK245" s="79">
        <v>0</v>
      </c>
      <c r="AL245" s="79">
        <v>0</v>
      </c>
      <c r="AM245" s="80" t="str">
        <f t="shared" si="6"/>
        <v>17.010,0150,04650</v>
      </c>
      <c r="AN245" t="str">
        <f t="shared" si="7"/>
        <v>17.010,0150,04650</v>
      </c>
    </row>
    <row r="246" spans="2:40" ht="18" customHeight="1">
      <c r="B246" s="71">
        <v>241</v>
      </c>
      <c r="C246" s="81" t="s">
        <v>608</v>
      </c>
      <c r="D246" s="71" t="s">
        <v>1210</v>
      </c>
      <c r="E246" s="82" t="s">
        <v>610</v>
      </c>
      <c r="F246" s="85" t="s">
        <v>1211</v>
      </c>
      <c r="G246" s="74">
        <v>0.05</v>
      </c>
      <c r="H246" s="74" t="s">
        <v>824</v>
      </c>
      <c r="I246" s="74">
        <v>0.05</v>
      </c>
      <c r="J246" s="75" t="s">
        <v>824</v>
      </c>
      <c r="K246" s="75"/>
      <c r="L246" s="75"/>
      <c r="M246" s="75"/>
      <c r="N246" s="75"/>
      <c r="O246" s="75"/>
      <c r="P246" s="75"/>
      <c r="Q246" s="75"/>
      <c r="R246" s="75"/>
      <c r="S246" s="75"/>
      <c r="T246" s="75"/>
      <c r="U246" s="75"/>
      <c r="V246" s="75"/>
      <c r="W246" s="74">
        <v>0.05</v>
      </c>
      <c r="X246" s="75" t="s">
        <v>849</v>
      </c>
      <c r="Y246" s="74">
        <v>0.05</v>
      </c>
      <c r="Z246" s="75"/>
      <c r="AA246" s="74">
        <v>0.05</v>
      </c>
      <c r="AB246" s="75" t="s">
        <v>824</v>
      </c>
      <c r="AC246" s="76">
        <v>0.05</v>
      </c>
      <c r="AD246" s="76" t="s">
        <v>824</v>
      </c>
      <c r="AE246" s="76">
        <v>0.02</v>
      </c>
      <c r="AF246" s="75" t="s">
        <v>824</v>
      </c>
      <c r="AG246" s="79">
        <v>1.4999999999999999E-2</v>
      </c>
      <c r="AH246" s="78">
        <v>1708</v>
      </c>
      <c r="AI246" s="79">
        <v>4.65E-2</v>
      </c>
      <c r="AJ246" s="78">
        <v>5952</v>
      </c>
      <c r="AK246" s="79">
        <v>0.11</v>
      </c>
      <c r="AL246" s="79">
        <v>3.5000000000000003E-2</v>
      </c>
      <c r="AM246" s="80" t="str">
        <f t="shared" si="6"/>
        <v>17.010,0150,04650,11</v>
      </c>
      <c r="AN246" t="str">
        <f t="shared" si="7"/>
        <v>17.010,0150,04650,035</v>
      </c>
    </row>
    <row r="247" spans="2:40" ht="18" customHeight="1">
      <c r="B247" s="71">
        <v>242</v>
      </c>
      <c r="C247" s="81" t="s">
        <v>612</v>
      </c>
      <c r="D247" s="71" t="s">
        <v>1212</v>
      </c>
      <c r="E247" s="82" t="s">
        <v>1213</v>
      </c>
      <c r="F247" s="85" t="s">
        <v>838</v>
      </c>
      <c r="G247" s="74">
        <v>0.05</v>
      </c>
      <c r="H247" s="74" t="s">
        <v>824</v>
      </c>
      <c r="I247" s="74">
        <v>0.05</v>
      </c>
      <c r="J247" s="75" t="s">
        <v>824</v>
      </c>
      <c r="K247" s="75"/>
      <c r="L247" s="75"/>
      <c r="M247" s="75"/>
      <c r="N247" s="75"/>
      <c r="O247" s="75"/>
      <c r="P247" s="75"/>
      <c r="Q247" s="75"/>
      <c r="R247" s="75"/>
      <c r="S247" s="75"/>
      <c r="T247" s="75"/>
      <c r="U247" s="75"/>
      <c r="V247" s="75"/>
      <c r="W247" s="74">
        <v>0.05</v>
      </c>
      <c r="X247" s="75" t="s">
        <v>824</v>
      </c>
      <c r="Y247" s="74">
        <v>0.05</v>
      </c>
      <c r="Z247" s="75" t="s">
        <v>870</v>
      </c>
      <c r="AA247" s="74">
        <v>0.05</v>
      </c>
      <c r="AB247" s="75" t="s">
        <v>824</v>
      </c>
      <c r="AC247" s="76">
        <v>0.02</v>
      </c>
      <c r="AD247" s="76" t="s">
        <v>824</v>
      </c>
      <c r="AE247" s="76">
        <v>0.02</v>
      </c>
      <c r="AF247" s="75" t="s">
        <v>824</v>
      </c>
      <c r="AG247" s="79">
        <v>1.4999999999999999E-2</v>
      </c>
      <c r="AH247" s="78">
        <v>1708</v>
      </c>
      <c r="AI247" s="79">
        <v>4.65E-2</v>
      </c>
      <c r="AJ247" s="78">
        <v>5952</v>
      </c>
      <c r="AK247" s="79">
        <v>0</v>
      </c>
      <c r="AL247" s="79">
        <v>0</v>
      </c>
      <c r="AM247" s="80" t="str">
        <f t="shared" si="6"/>
        <v>17.020,0150,04650</v>
      </c>
      <c r="AN247" t="str">
        <f t="shared" si="7"/>
        <v>17.020,0150,04650</v>
      </c>
    </row>
    <row r="248" spans="2:40" ht="18" customHeight="1">
      <c r="B248" s="71">
        <v>243</v>
      </c>
      <c r="C248" s="81" t="s">
        <v>612</v>
      </c>
      <c r="D248" s="71" t="s">
        <v>1214</v>
      </c>
      <c r="E248" s="82" t="s">
        <v>1213</v>
      </c>
      <c r="F248" s="85" t="s">
        <v>840</v>
      </c>
      <c r="G248" s="74">
        <v>0.05</v>
      </c>
      <c r="H248" s="74" t="s">
        <v>824</v>
      </c>
      <c r="I248" s="74">
        <v>0.05</v>
      </c>
      <c r="J248" s="75" t="s">
        <v>824</v>
      </c>
      <c r="K248" s="75"/>
      <c r="L248" s="75"/>
      <c r="M248" s="75"/>
      <c r="N248" s="75"/>
      <c r="O248" s="75"/>
      <c r="P248" s="75"/>
      <c r="Q248" s="75"/>
      <c r="R248" s="75"/>
      <c r="S248" s="75"/>
      <c r="T248" s="75"/>
      <c r="U248" s="75"/>
      <c r="V248" s="75"/>
      <c r="W248" s="74">
        <v>0.05</v>
      </c>
      <c r="X248" s="75" t="s">
        <v>824</v>
      </c>
      <c r="Y248" s="74">
        <v>0.05</v>
      </c>
      <c r="Z248" s="75" t="s">
        <v>870</v>
      </c>
      <c r="AA248" s="74">
        <v>0.05</v>
      </c>
      <c r="AB248" s="75" t="s">
        <v>824</v>
      </c>
      <c r="AC248" s="76">
        <v>0.02</v>
      </c>
      <c r="AD248" s="76" t="s">
        <v>824</v>
      </c>
      <c r="AE248" s="76">
        <v>0.02</v>
      </c>
      <c r="AF248" s="75" t="s">
        <v>824</v>
      </c>
      <c r="AG248" s="79">
        <v>1.4999999999999999E-2</v>
      </c>
      <c r="AH248" s="78">
        <v>1708</v>
      </c>
      <c r="AI248" s="79">
        <v>4.65E-2</v>
      </c>
      <c r="AJ248" s="78">
        <v>5952</v>
      </c>
      <c r="AK248" s="79">
        <v>0.11</v>
      </c>
      <c r="AL248" s="79">
        <v>3.5000000000000003E-2</v>
      </c>
      <c r="AM248" s="80" t="str">
        <f t="shared" si="6"/>
        <v>17.020,0150,04650,11</v>
      </c>
      <c r="AN248" t="str">
        <f t="shared" si="7"/>
        <v>17.020,0150,04650,035</v>
      </c>
    </row>
    <row r="249" spans="2:40" ht="18" customHeight="1">
      <c r="B249" s="71">
        <v>244</v>
      </c>
      <c r="C249" s="81" t="s">
        <v>616</v>
      </c>
      <c r="D249" s="71" t="s">
        <v>1215</v>
      </c>
      <c r="E249" s="82" t="s">
        <v>1216</v>
      </c>
      <c r="F249" s="85" t="s">
        <v>838</v>
      </c>
      <c r="G249" s="74">
        <v>0.05</v>
      </c>
      <c r="H249" s="74" t="s">
        <v>824</v>
      </c>
      <c r="I249" s="74">
        <v>0.05</v>
      </c>
      <c r="J249" s="75" t="s">
        <v>824</v>
      </c>
      <c r="K249" s="75"/>
      <c r="L249" s="75"/>
      <c r="M249" s="75"/>
      <c r="N249" s="75"/>
      <c r="O249" s="75"/>
      <c r="P249" s="75"/>
      <c r="Q249" s="75"/>
      <c r="R249" s="75"/>
      <c r="S249" s="75"/>
      <c r="T249" s="75"/>
      <c r="U249" s="75"/>
      <c r="V249" s="75"/>
      <c r="W249" s="74">
        <v>0.05</v>
      </c>
      <c r="X249" s="75" t="s">
        <v>824</v>
      </c>
      <c r="Y249" s="74">
        <v>0.05</v>
      </c>
      <c r="Z249" s="75"/>
      <c r="AA249" s="74">
        <v>0.05</v>
      </c>
      <c r="AB249" s="75" t="s">
        <v>824</v>
      </c>
      <c r="AC249" s="76">
        <v>0.02</v>
      </c>
      <c r="AD249" s="76" t="s">
        <v>824</v>
      </c>
      <c r="AE249" s="76">
        <v>0.02</v>
      </c>
      <c r="AF249" s="75" t="s">
        <v>824</v>
      </c>
      <c r="AG249" s="79">
        <v>1.4999999999999999E-2</v>
      </c>
      <c r="AH249" s="78">
        <v>1708</v>
      </c>
      <c r="AI249" s="79">
        <v>4.65E-2</v>
      </c>
      <c r="AJ249" s="78">
        <v>5952</v>
      </c>
      <c r="AK249" s="79">
        <v>0</v>
      </c>
      <c r="AL249" s="79">
        <v>0</v>
      </c>
      <c r="AM249" s="80" t="str">
        <f t="shared" si="6"/>
        <v>17.030,0150,04650</v>
      </c>
      <c r="AN249" t="str">
        <f t="shared" si="7"/>
        <v>17.030,0150,04650</v>
      </c>
    </row>
    <row r="250" spans="2:40" ht="18" customHeight="1">
      <c r="B250" s="71">
        <v>245</v>
      </c>
      <c r="C250" s="81" t="s">
        <v>619</v>
      </c>
      <c r="D250" s="71" t="s">
        <v>1217</v>
      </c>
      <c r="E250" s="82" t="s">
        <v>1218</v>
      </c>
      <c r="F250" s="85" t="s">
        <v>838</v>
      </c>
      <c r="G250" s="74">
        <v>0.05</v>
      </c>
      <c r="H250" s="74" t="s">
        <v>824</v>
      </c>
      <c r="I250" s="74">
        <v>0.03</v>
      </c>
      <c r="J250" s="75" t="s">
        <v>824</v>
      </c>
      <c r="K250" s="75"/>
      <c r="L250" s="75"/>
      <c r="M250" s="75"/>
      <c r="N250" s="75"/>
      <c r="O250" s="75"/>
      <c r="P250" s="75"/>
      <c r="Q250" s="75"/>
      <c r="R250" s="75"/>
      <c r="S250" s="75"/>
      <c r="T250" s="75"/>
      <c r="U250" s="75"/>
      <c r="V250" s="75"/>
      <c r="W250" s="74">
        <v>0.05</v>
      </c>
      <c r="X250" s="75" t="s">
        <v>849</v>
      </c>
      <c r="Y250" s="74">
        <v>0.05</v>
      </c>
      <c r="Z250" s="75"/>
      <c r="AA250" s="74">
        <v>0.05</v>
      </c>
      <c r="AB250" s="75" t="s">
        <v>824</v>
      </c>
      <c r="AC250" s="76">
        <v>0.05</v>
      </c>
      <c r="AD250" s="76" t="s">
        <v>824</v>
      </c>
      <c r="AE250" s="76">
        <v>0.02</v>
      </c>
      <c r="AF250" s="75" t="s">
        <v>824</v>
      </c>
      <c r="AG250" s="79">
        <v>1.4999999999999999E-2</v>
      </c>
      <c r="AH250" s="78">
        <v>1708</v>
      </c>
      <c r="AI250" s="79">
        <v>0</v>
      </c>
      <c r="AJ250" s="78">
        <v>0</v>
      </c>
      <c r="AK250" s="79">
        <v>0</v>
      </c>
      <c r="AL250" s="79">
        <v>0</v>
      </c>
      <c r="AM250" s="80" t="str">
        <f t="shared" si="6"/>
        <v>17.040,01500</v>
      </c>
      <c r="AN250" t="str">
        <f t="shared" si="7"/>
        <v>17.040,01500</v>
      </c>
    </row>
    <row r="251" spans="2:40" ht="18" customHeight="1">
      <c r="B251" s="71">
        <v>246</v>
      </c>
      <c r="C251" s="81" t="s">
        <v>619</v>
      </c>
      <c r="D251" s="71" t="s">
        <v>1219</v>
      </c>
      <c r="E251" s="82" t="s">
        <v>1218</v>
      </c>
      <c r="F251" s="85" t="s">
        <v>1220</v>
      </c>
      <c r="G251" s="74">
        <v>0.05</v>
      </c>
      <c r="H251" s="74" t="s">
        <v>824</v>
      </c>
      <c r="I251" s="74">
        <v>0.03</v>
      </c>
      <c r="J251" s="75" t="s">
        <v>824</v>
      </c>
      <c r="K251" s="75"/>
      <c r="L251" s="75"/>
      <c r="M251" s="75"/>
      <c r="N251" s="75"/>
      <c r="O251" s="75"/>
      <c r="P251" s="75"/>
      <c r="Q251" s="75"/>
      <c r="R251" s="75"/>
      <c r="S251" s="75"/>
      <c r="T251" s="75"/>
      <c r="U251" s="75"/>
      <c r="V251" s="75"/>
      <c r="W251" s="74">
        <v>0.05</v>
      </c>
      <c r="X251" s="75" t="s">
        <v>849</v>
      </c>
      <c r="Y251" s="74">
        <v>0.05</v>
      </c>
      <c r="Z251" s="75"/>
      <c r="AA251" s="74">
        <v>0.05</v>
      </c>
      <c r="AB251" s="75" t="s">
        <v>824</v>
      </c>
      <c r="AC251" s="76">
        <v>0.05</v>
      </c>
      <c r="AD251" s="76" t="s">
        <v>824</v>
      </c>
      <c r="AE251" s="76">
        <v>0.02</v>
      </c>
      <c r="AF251" s="75" t="s">
        <v>824</v>
      </c>
      <c r="AG251" s="79">
        <v>1.4999999999999999E-2</v>
      </c>
      <c r="AH251" s="78">
        <v>1708</v>
      </c>
      <c r="AI251" s="79">
        <v>4.65E-2</v>
      </c>
      <c r="AJ251" s="78">
        <v>5952</v>
      </c>
      <c r="AK251" s="79">
        <v>0</v>
      </c>
      <c r="AL251" s="79">
        <v>0</v>
      </c>
      <c r="AM251" s="80" t="str">
        <f t="shared" si="6"/>
        <v>17.040,0150,04650</v>
      </c>
      <c r="AN251" t="str">
        <f t="shared" si="7"/>
        <v>17.040,0150,04650</v>
      </c>
    </row>
    <row r="252" spans="2:40" ht="18" customHeight="1">
      <c r="B252" s="71">
        <v>247</v>
      </c>
      <c r="C252" s="81" t="s">
        <v>622</v>
      </c>
      <c r="D252" s="71" t="s">
        <v>1221</v>
      </c>
      <c r="E252" s="82" t="s">
        <v>1222</v>
      </c>
      <c r="F252" s="85" t="s">
        <v>838</v>
      </c>
      <c r="G252" s="74">
        <v>0.05</v>
      </c>
      <c r="H252" s="74" t="s">
        <v>870</v>
      </c>
      <c r="I252" s="74">
        <v>0.02</v>
      </c>
      <c r="J252" s="75" t="s">
        <v>849</v>
      </c>
      <c r="K252" s="74"/>
      <c r="L252" s="74"/>
      <c r="M252" s="74"/>
      <c r="N252" s="74"/>
      <c r="O252" s="74"/>
      <c r="P252" s="74"/>
      <c r="Q252" s="74"/>
      <c r="R252" s="74"/>
      <c r="S252" s="74"/>
      <c r="T252" s="74"/>
      <c r="U252" s="74">
        <v>0.05</v>
      </c>
      <c r="V252" s="74" t="s">
        <v>870</v>
      </c>
      <c r="W252" s="74">
        <v>0.05</v>
      </c>
      <c r="X252" s="75" t="s">
        <v>849</v>
      </c>
      <c r="Y252" s="74">
        <v>0.05</v>
      </c>
      <c r="Z252" s="74"/>
      <c r="AA252" s="74">
        <v>0.02</v>
      </c>
      <c r="AB252" s="75" t="s">
        <v>849</v>
      </c>
      <c r="AC252" s="76">
        <v>0.05</v>
      </c>
      <c r="AD252" s="89" t="s">
        <v>849</v>
      </c>
      <c r="AE252" s="76">
        <v>0.02</v>
      </c>
      <c r="AF252" s="75" t="s">
        <v>870</v>
      </c>
      <c r="AG252" s="79">
        <v>0.01</v>
      </c>
      <c r="AH252" s="78">
        <v>1708</v>
      </c>
      <c r="AI252" s="79">
        <v>4.65E-2</v>
      </c>
      <c r="AJ252" s="78">
        <v>5952</v>
      </c>
      <c r="AK252" s="79">
        <v>0.11</v>
      </c>
      <c r="AL252" s="79">
        <v>3.5000000000000003E-2</v>
      </c>
      <c r="AM252" s="80" t="str">
        <f t="shared" si="6"/>
        <v>17.050,010,04650,11</v>
      </c>
      <c r="AN252" t="str">
        <f t="shared" si="7"/>
        <v>17.050,010,04650,035</v>
      </c>
    </row>
    <row r="253" spans="2:40" ht="18" customHeight="1">
      <c r="B253" s="71">
        <v>248</v>
      </c>
      <c r="C253" s="81" t="s">
        <v>626</v>
      </c>
      <c r="D253" s="71" t="s">
        <v>1223</v>
      </c>
      <c r="E253" s="82" t="s">
        <v>1224</v>
      </c>
      <c r="F253" s="85" t="s">
        <v>838</v>
      </c>
      <c r="G253" s="74">
        <v>0.05</v>
      </c>
      <c r="H253" s="74" t="s">
        <v>824</v>
      </c>
      <c r="I253" s="74">
        <v>0.05</v>
      </c>
      <c r="J253" s="75" t="s">
        <v>824</v>
      </c>
      <c r="K253" s="75"/>
      <c r="L253" s="75"/>
      <c r="M253" s="75"/>
      <c r="N253" s="75"/>
      <c r="O253" s="75"/>
      <c r="P253" s="75"/>
      <c r="Q253" s="75"/>
      <c r="R253" s="75"/>
      <c r="S253" s="75"/>
      <c r="T253" s="75"/>
      <c r="U253" s="75"/>
      <c r="V253" s="75"/>
      <c r="W253" s="74">
        <v>0.05</v>
      </c>
      <c r="X253" s="75" t="s">
        <v>824</v>
      </c>
      <c r="Y253" s="74">
        <v>0.05</v>
      </c>
      <c r="Z253" s="75"/>
      <c r="AA253" s="74">
        <v>0.05</v>
      </c>
      <c r="AB253" s="75" t="s">
        <v>824</v>
      </c>
      <c r="AC253" s="76">
        <v>0.02</v>
      </c>
      <c r="AD253" s="76" t="s">
        <v>824</v>
      </c>
      <c r="AE253" s="76">
        <v>0.02</v>
      </c>
      <c r="AF253" s="75" t="s">
        <v>824</v>
      </c>
      <c r="AG253" s="79">
        <v>1.4999999999999999E-2</v>
      </c>
      <c r="AH253" s="78">
        <v>8045</v>
      </c>
      <c r="AI253" s="79">
        <v>0</v>
      </c>
      <c r="AJ253" s="78">
        <v>0</v>
      </c>
      <c r="AK253" s="79">
        <v>0</v>
      </c>
      <c r="AL253" s="79">
        <v>0</v>
      </c>
      <c r="AM253" s="80" t="str">
        <f t="shared" si="6"/>
        <v>17.060,01500</v>
      </c>
      <c r="AN253" t="str">
        <f t="shared" si="7"/>
        <v>17.060,01500</v>
      </c>
    </row>
    <row r="254" spans="2:40" ht="18" customHeight="1">
      <c r="B254" s="71">
        <v>249</v>
      </c>
      <c r="C254" s="81" t="s">
        <v>630</v>
      </c>
      <c r="D254" s="71" t="s">
        <v>1225</v>
      </c>
      <c r="E254" s="82" t="s">
        <v>1226</v>
      </c>
      <c r="F254" s="85" t="s">
        <v>838</v>
      </c>
      <c r="G254" s="74">
        <v>0.05</v>
      </c>
      <c r="H254" s="74" t="s">
        <v>824</v>
      </c>
      <c r="I254" s="74">
        <v>0.02</v>
      </c>
      <c r="J254" s="75" t="s">
        <v>824</v>
      </c>
      <c r="K254" s="75"/>
      <c r="L254" s="75"/>
      <c r="M254" s="75"/>
      <c r="N254" s="75"/>
      <c r="O254" s="75"/>
      <c r="P254" s="75"/>
      <c r="Q254" s="75"/>
      <c r="R254" s="75"/>
      <c r="S254" s="75"/>
      <c r="T254" s="75"/>
      <c r="U254" s="75"/>
      <c r="V254" s="75"/>
      <c r="W254" s="74">
        <v>0.05</v>
      </c>
      <c r="X254" s="75" t="s">
        <v>824</v>
      </c>
      <c r="Y254" s="74">
        <v>0.05</v>
      </c>
      <c r="Z254" s="75"/>
      <c r="AA254" s="74">
        <v>0.05</v>
      </c>
      <c r="AB254" s="75" t="s">
        <v>824</v>
      </c>
      <c r="AC254" s="76">
        <v>0.05</v>
      </c>
      <c r="AD254" s="76" t="s">
        <v>824</v>
      </c>
      <c r="AE254" s="76">
        <v>0.02</v>
      </c>
      <c r="AF254" s="75" t="s">
        <v>824</v>
      </c>
      <c r="AG254" s="79">
        <v>0</v>
      </c>
      <c r="AH254" s="78">
        <v>0</v>
      </c>
      <c r="AI254" s="79">
        <v>0</v>
      </c>
      <c r="AJ254" s="78">
        <v>0</v>
      </c>
      <c r="AK254" s="79">
        <v>0</v>
      </c>
      <c r="AL254" s="79">
        <v>0</v>
      </c>
      <c r="AM254" s="80" t="str">
        <f t="shared" si="6"/>
        <v>17.08000</v>
      </c>
      <c r="AN254" t="str">
        <f t="shared" si="7"/>
        <v>17.08000</v>
      </c>
    </row>
    <row r="255" spans="2:40" ht="18" customHeight="1">
      <c r="B255" s="71">
        <v>250</v>
      </c>
      <c r="C255" s="81" t="s">
        <v>633</v>
      </c>
      <c r="D255" s="71" t="s">
        <v>1227</v>
      </c>
      <c r="E255" s="82" t="s">
        <v>1228</v>
      </c>
      <c r="F255" s="85" t="s">
        <v>838</v>
      </c>
      <c r="G255" s="74">
        <v>0.05</v>
      </c>
      <c r="H255" s="74" t="s">
        <v>824</v>
      </c>
      <c r="I255" s="74">
        <v>0.05</v>
      </c>
      <c r="J255" s="75" t="s">
        <v>824</v>
      </c>
      <c r="K255" s="75"/>
      <c r="L255" s="75"/>
      <c r="M255" s="75"/>
      <c r="N255" s="75"/>
      <c r="O255" s="75"/>
      <c r="P255" s="75"/>
      <c r="Q255" s="75"/>
      <c r="R255" s="75"/>
      <c r="S255" s="75"/>
      <c r="T255" s="75"/>
      <c r="U255" s="75"/>
      <c r="V255" s="75"/>
      <c r="W255" s="74">
        <v>0.05</v>
      </c>
      <c r="X255" s="75" t="s">
        <v>849</v>
      </c>
      <c r="Y255" s="74">
        <v>0.05</v>
      </c>
      <c r="Z255" s="75"/>
      <c r="AA255" s="74">
        <v>0.05</v>
      </c>
      <c r="AB255" s="75" t="s">
        <v>824</v>
      </c>
      <c r="AC255" s="76">
        <v>0.05</v>
      </c>
      <c r="AD255" s="76" t="s">
        <v>824</v>
      </c>
      <c r="AE255" s="76">
        <v>0.02</v>
      </c>
      <c r="AF255" s="75" t="s">
        <v>824</v>
      </c>
      <c r="AG255" s="79">
        <v>1.4999999999999999E-2</v>
      </c>
      <c r="AH255" s="78">
        <v>1708</v>
      </c>
      <c r="AI255" s="79">
        <v>4.65E-2</v>
      </c>
      <c r="AJ255" s="78">
        <v>5952</v>
      </c>
      <c r="AK255" s="79">
        <v>0</v>
      </c>
      <c r="AL255" s="79">
        <v>0</v>
      </c>
      <c r="AM255" s="80" t="str">
        <f t="shared" si="6"/>
        <v>17.090,0150,04650</v>
      </c>
      <c r="AN255" t="str">
        <f t="shared" si="7"/>
        <v>17.090,0150,04650</v>
      </c>
    </row>
    <row r="256" spans="2:40" ht="18" customHeight="1">
      <c r="B256" s="71">
        <v>251</v>
      </c>
      <c r="C256" s="81" t="s">
        <v>636</v>
      </c>
      <c r="D256" s="71" t="s">
        <v>1229</v>
      </c>
      <c r="E256" s="83" t="s">
        <v>1230</v>
      </c>
      <c r="F256" s="84" t="s">
        <v>838</v>
      </c>
      <c r="G256" s="74">
        <v>0.05</v>
      </c>
      <c r="H256" s="74" t="s">
        <v>870</v>
      </c>
      <c r="I256" s="74">
        <v>0.05</v>
      </c>
      <c r="J256" s="75" t="s">
        <v>849</v>
      </c>
      <c r="K256" s="74"/>
      <c r="L256" s="74"/>
      <c r="M256" s="91"/>
      <c r="N256" s="91" t="s">
        <v>870</v>
      </c>
      <c r="O256" s="91"/>
      <c r="P256" s="91"/>
      <c r="Q256" s="91"/>
      <c r="R256" s="91"/>
      <c r="S256" s="91"/>
      <c r="T256" s="91"/>
      <c r="U256" s="91"/>
      <c r="V256" s="91"/>
      <c r="W256" s="74">
        <v>0.05</v>
      </c>
      <c r="X256" s="75" t="s">
        <v>849</v>
      </c>
      <c r="Y256" s="74">
        <v>0.05</v>
      </c>
      <c r="Z256" s="91"/>
      <c r="AA256" s="74">
        <v>0.02</v>
      </c>
      <c r="AB256" s="75" t="s">
        <v>849</v>
      </c>
      <c r="AC256" s="76">
        <v>0.05</v>
      </c>
      <c r="AD256" s="89" t="s">
        <v>849</v>
      </c>
      <c r="AE256" s="76">
        <v>0.02</v>
      </c>
      <c r="AF256" s="75" t="s">
        <v>870</v>
      </c>
      <c r="AG256" s="79">
        <v>1.4999999999999999E-2</v>
      </c>
      <c r="AH256" s="78">
        <v>1708</v>
      </c>
      <c r="AI256" s="79">
        <v>4.65E-2</v>
      </c>
      <c r="AJ256" s="78">
        <v>5952</v>
      </c>
      <c r="AK256" s="79">
        <v>0</v>
      </c>
      <c r="AL256" s="79">
        <v>0</v>
      </c>
      <c r="AM256" s="80" t="str">
        <f t="shared" si="6"/>
        <v>17.100,0150,04650</v>
      </c>
      <c r="AN256" t="str">
        <f t="shared" si="7"/>
        <v>17.100,0150,04650</v>
      </c>
    </row>
    <row r="257" spans="2:40" ht="18" customHeight="1">
      <c r="B257" s="71">
        <v>252</v>
      </c>
      <c r="C257" s="81" t="s">
        <v>639</v>
      </c>
      <c r="D257" s="71" t="s">
        <v>1231</v>
      </c>
      <c r="E257" s="82" t="s">
        <v>1232</v>
      </c>
      <c r="F257" s="85" t="s">
        <v>838</v>
      </c>
      <c r="G257" s="74">
        <v>0.05</v>
      </c>
      <c r="H257" s="74" t="s">
        <v>824</v>
      </c>
      <c r="I257" s="74">
        <v>0.05</v>
      </c>
      <c r="J257" s="75" t="s">
        <v>824</v>
      </c>
      <c r="K257" s="75"/>
      <c r="L257" s="75"/>
      <c r="M257" s="75"/>
      <c r="N257" s="75"/>
      <c r="O257" s="75"/>
      <c r="P257" s="75"/>
      <c r="Q257" s="75"/>
      <c r="R257" s="75"/>
      <c r="S257" s="75"/>
      <c r="T257" s="75"/>
      <c r="U257" s="75"/>
      <c r="V257" s="75"/>
      <c r="W257" s="74">
        <v>0.05</v>
      </c>
      <c r="X257" s="75" t="s">
        <v>849</v>
      </c>
      <c r="Y257" s="74">
        <v>0.05</v>
      </c>
      <c r="Z257" s="75"/>
      <c r="AA257" s="74">
        <v>0.05</v>
      </c>
      <c r="AB257" s="75" t="s">
        <v>824</v>
      </c>
      <c r="AC257" s="76">
        <v>0.05</v>
      </c>
      <c r="AD257" s="76" t="s">
        <v>824</v>
      </c>
      <c r="AE257" s="76">
        <v>0.02</v>
      </c>
      <c r="AF257" s="75" t="s">
        <v>824</v>
      </c>
      <c r="AG257" s="79">
        <v>1.4999999999999999E-2</v>
      </c>
      <c r="AH257" s="78">
        <v>1708</v>
      </c>
      <c r="AI257" s="79">
        <v>4.65E-2</v>
      </c>
      <c r="AJ257" s="78">
        <v>5952</v>
      </c>
      <c r="AK257" s="79">
        <v>0</v>
      </c>
      <c r="AL257" s="79">
        <v>0</v>
      </c>
      <c r="AM257" s="80" t="str">
        <f t="shared" si="6"/>
        <v>17.110,0150,04650</v>
      </c>
      <c r="AN257" t="str">
        <f t="shared" si="7"/>
        <v>17.110,0150,04650</v>
      </c>
    </row>
    <row r="258" spans="2:40" ht="18" customHeight="1">
      <c r="B258" s="71">
        <v>253</v>
      </c>
      <c r="C258" s="81" t="s">
        <v>642</v>
      </c>
      <c r="D258" s="71" t="s">
        <v>1233</v>
      </c>
      <c r="E258" s="82" t="s">
        <v>1234</v>
      </c>
      <c r="F258" s="85" t="s">
        <v>838</v>
      </c>
      <c r="G258" s="74">
        <v>0.05</v>
      </c>
      <c r="H258" s="74" t="s">
        <v>824</v>
      </c>
      <c r="I258" s="74">
        <v>0.05</v>
      </c>
      <c r="J258" s="75" t="s">
        <v>824</v>
      </c>
      <c r="K258" s="75"/>
      <c r="L258" s="75"/>
      <c r="M258" s="75"/>
      <c r="N258" s="75"/>
      <c r="O258" s="75"/>
      <c r="P258" s="75"/>
      <c r="Q258" s="75"/>
      <c r="R258" s="75"/>
      <c r="S258" s="75"/>
      <c r="T258" s="75"/>
      <c r="U258" s="75"/>
      <c r="V258" s="75"/>
      <c r="W258" s="74">
        <v>0.05</v>
      </c>
      <c r="X258" s="75" t="s">
        <v>824</v>
      </c>
      <c r="Y258" s="74">
        <v>0.05</v>
      </c>
      <c r="Z258" s="75"/>
      <c r="AA258" s="74">
        <v>0.05</v>
      </c>
      <c r="AB258" s="75" t="s">
        <v>824</v>
      </c>
      <c r="AC258" s="76">
        <v>0.05</v>
      </c>
      <c r="AD258" s="76" t="s">
        <v>824</v>
      </c>
      <c r="AE258" s="76">
        <v>0.02</v>
      </c>
      <c r="AF258" s="75" t="s">
        <v>824</v>
      </c>
      <c r="AG258" s="79">
        <v>1.4999999999999999E-2</v>
      </c>
      <c r="AH258" s="78">
        <v>1708</v>
      </c>
      <c r="AI258" s="79">
        <v>4.65E-2</v>
      </c>
      <c r="AJ258" s="78">
        <v>5952</v>
      </c>
      <c r="AK258" s="79">
        <v>0</v>
      </c>
      <c r="AL258" s="79">
        <v>0</v>
      </c>
      <c r="AM258" s="80" t="str">
        <f t="shared" si="6"/>
        <v>17.120,0150,04650</v>
      </c>
      <c r="AN258" t="str">
        <f t="shared" si="7"/>
        <v>17.120,0150,04650</v>
      </c>
    </row>
    <row r="259" spans="2:40" ht="18" customHeight="1">
      <c r="B259" s="71">
        <v>254</v>
      </c>
      <c r="C259" s="81" t="s">
        <v>645</v>
      </c>
      <c r="D259" s="71" t="s">
        <v>1235</v>
      </c>
      <c r="E259" s="82" t="s">
        <v>1236</v>
      </c>
      <c r="F259" s="85" t="s">
        <v>838</v>
      </c>
      <c r="G259" s="74">
        <v>0.05</v>
      </c>
      <c r="H259" s="74" t="s">
        <v>824</v>
      </c>
      <c r="I259" s="74">
        <v>0.05</v>
      </c>
      <c r="J259" s="75" t="s">
        <v>824</v>
      </c>
      <c r="K259" s="75"/>
      <c r="L259" s="75"/>
      <c r="M259" s="75"/>
      <c r="N259" s="75"/>
      <c r="O259" s="75"/>
      <c r="P259" s="75"/>
      <c r="Q259" s="75"/>
      <c r="R259" s="75"/>
      <c r="S259" s="75"/>
      <c r="T259" s="75"/>
      <c r="U259" s="75"/>
      <c r="V259" s="75"/>
      <c r="W259" s="74">
        <v>0.05</v>
      </c>
      <c r="X259" s="75" t="s">
        <v>824</v>
      </c>
      <c r="Y259" s="74">
        <v>0.05</v>
      </c>
      <c r="Z259" s="75"/>
      <c r="AA259" s="74">
        <v>0.05</v>
      </c>
      <c r="AB259" s="75" t="s">
        <v>824</v>
      </c>
      <c r="AC259" s="76">
        <v>0.05</v>
      </c>
      <c r="AD259" s="76" t="s">
        <v>824</v>
      </c>
      <c r="AE259" s="76">
        <v>0.05</v>
      </c>
      <c r="AF259" s="75" t="s">
        <v>824</v>
      </c>
      <c r="AG259" s="79">
        <v>1.4999999999999999E-2</v>
      </c>
      <c r="AH259" s="78">
        <v>1708</v>
      </c>
      <c r="AI259" s="79">
        <v>4.65E-2</v>
      </c>
      <c r="AJ259" s="78">
        <v>5952</v>
      </c>
      <c r="AK259" s="79">
        <v>0</v>
      </c>
      <c r="AL259" s="79">
        <v>0</v>
      </c>
      <c r="AM259" s="80" t="str">
        <f t="shared" si="6"/>
        <v>17.130,0150,04650</v>
      </c>
      <c r="AN259" t="str">
        <f t="shared" si="7"/>
        <v>17.130,0150,04650</v>
      </c>
    </row>
    <row r="260" spans="2:40" ht="18" customHeight="1">
      <c r="B260" s="71">
        <v>255</v>
      </c>
      <c r="C260" s="81" t="s">
        <v>648</v>
      </c>
      <c r="D260" s="71" t="s">
        <v>1237</v>
      </c>
      <c r="E260" s="82" t="s">
        <v>1238</v>
      </c>
      <c r="F260" s="85" t="s">
        <v>838</v>
      </c>
      <c r="G260" s="74">
        <v>0.05</v>
      </c>
      <c r="H260" s="74" t="s">
        <v>824</v>
      </c>
      <c r="I260" s="74">
        <v>0.02</v>
      </c>
      <c r="J260" s="75" t="s">
        <v>824</v>
      </c>
      <c r="K260" s="75"/>
      <c r="L260" s="75"/>
      <c r="M260" s="75"/>
      <c r="N260" s="75"/>
      <c r="O260" s="75"/>
      <c r="P260" s="75"/>
      <c r="Q260" s="75"/>
      <c r="R260" s="75"/>
      <c r="S260" s="75"/>
      <c r="T260" s="75"/>
      <c r="U260" s="75"/>
      <c r="V260" s="75"/>
      <c r="W260" s="74">
        <v>0.05</v>
      </c>
      <c r="X260" s="75" t="s">
        <v>849</v>
      </c>
      <c r="Y260" s="74">
        <v>0.05</v>
      </c>
      <c r="Z260" s="75"/>
      <c r="AA260" s="74">
        <v>0.05</v>
      </c>
      <c r="AB260" s="75" t="s">
        <v>824</v>
      </c>
      <c r="AC260" s="76">
        <v>0.05</v>
      </c>
      <c r="AD260" s="76" t="s">
        <v>824</v>
      </c>
      <c r="AE260" s="76">
        <v>0.02</v>
      </c>
      <c r="AF260" s="75" t="s">
        <v>824</v>
      </c>
      <c r="AG260" s="79">
        <v>1.4999999999999999E-2</v>
      </c>
      <c r="AH260" s="78">
        <v>1708</v>
      </c>
      <c r="AI260" s="79">
        <v>4.65E-2</v>
      </c>
      <c r="AJ260" s="78">
        <v>5952</v>
      </c>
      <c r="AK260" s="79">
        <v>0</v>
      </c>
      <c r="AL260" s="79">
        <v>0</v>
      </c>
      <c r="AM260" s="80" t="str">
        <f t="shared" si="6"/>
        <v>17.140,0150,04650</v>
      </c>
      <c r="AN260" t="str">
        <f t="shared" si="7"/>
        <v>17.140,0150,04650</v>
      </c>
    </row>
    <row r="261" spans="2:40" ht="18" customHeight="1">
      <c r="B261" s="71">
        <v>256</v>
      </c>
      <c r="C261" s="81" t="s">
        <v>651</v>
      </c>
      <c r="D261" s="71" t="s">
        <v>1239</v>
      </c>
      <c r="E261" s="82" t="s">
        <v>1240</v>
      </c>
      <c r="F261" s="85" t="s">
        <v>838</v>
      </c>
      <c r="G261" s="74">
        <v>0.05</v>
      </c>
      <c r="H261" s="74" t="s">
        <v>824</v>
      </c>
      <c r="I261" s="74">
        <v>0.05</v>
      </c>
      <c r="J261" s="75" t="s">
        <v>824</v>
      </c>
      <c r="K261" s="75"/>
      <c r="L261" s="75"/>
      <c r="M261" s="75"/>
      <c r="N261" s="75"/>
      <c r="O261" s="75"/>
      <c r="P261" s="75"/>
      <c r="Q261" s="75"/>
      <c r="R261" s="75"/>
      <c r="S261" s="75"/>
      <c r="T261" s="75"/>
      <c r="U261" s="75"/>
      <c r="V261" s="75"/>
      <c r="W261" s="74">
        <v>0.05</v>
      </c>
      <c r="X261" s="75" t="s">
        <v>824</v>
      </c>
      <c r="Y261" s="74">
        <v>0.05</v>
      </c>
      <c r="Z261" s="75"/>
      <c r="AA261" s="74">
        <v>0.05</v>
      </c>
      <c r="AB261" s="75" t="s">
        <v>824</v>
      </c>
      <c r="AC261" s="76">
        <v>0.05</v>
      </c>
      <c r="AD261" s="76" t="s">
        <v>824</v>
      </c>
      <c r="AE261" s="76">
        <v>0.02</v>
      </c>
      <c r="AF261" s="75" t="s">
        <v>824</v>
      </c>
      <c r="AG261" s="79">
        <v>1.4999999999999999E-2</v>
      </c>
      <c r="AH261" s="78">
        <v>1708</v>
      </c>
      <c r="AI261" s="79">
        <v>4.65E-2</v>
      </c>
      <c r="AJ261" s="78">
        <v>5952</v>
      </c>
      <c r="AK261" s="79">
        <v>0</v>
      </c>
      <c r="AL261" s="79">
        <v>0</v>
      </c>
      <c r="AM261" s="80" t="str">
        <f t="shared" si="6"/>
        <v>17.150,0150,04650</v>
      </c>
      <c r="AN261" t="str">
        <f t="shared" si="7"/>
        <v>17.150,0150,04650</v>
      </c>
    </row>
    <row r="262" spans="2:40" ht="18" customHeight="1">
      <c r="B262" s="71">
        <v>257</v>
      </c>
      <c r="C262" s="81" t="s">
        <v>654</v>
      </c>
      <c r="D262" s="71" t="s">
        <v>1241</v>
      </c>
      <c r="E262" s="82" t="s">
        <v>1242</v>
      </c>
      <c r="F262" s="85" t="s">
        <v>838</v>
      </c>
      <c r="G262" s="77">
        <v>1.4999999999999999E-2</v>
      </c>
      <c r="H262" s="78">
        <v>1708</v>
      </c>
      <c r="I262" s="79">
        <v>4.65E-2</v>
      </c>
      <c r="J262" s="78">
        <v>5952</v>
      </c>
      <c r="K262" s="86" t="s">
        <v>825</v>
      </c>
      <c r="L262" s="79" t="s">
        <v>825</v>
      </c>
      <c r="M262" s="75"/>
      <c r="N262" s="75"/>
      <c r="O262" s="75"/>
      <c r="P262" s="75"/>
      <c r="Q262" s="75"/>
      <c r="R262" s="75"/>
      <c r="S262" s="75"/>
      <c r="T262" s="75"/>
      <c r="U262" s="75"/>
      <c r="V262" s="75"/>
      <c r="W262" s="74"/>
      <c r="X262" s="75"/>
      <c r="Y262" s="74"/>
      <c r="Z262" s="75"/>
      <c r="AA262" s="74"/>
      <c r="AB262" s="75"/>
      <c r="AC262" s="76"/>
      <c r="AD262" s="76"/>
      <c r="AE262" s="76"/>
      <c r="AF262" s="75"/>
      <c r="AG262" s="79">
        <v>1.4999999999999999E-2</v>
      </c>
      <c r="AH262" s="78">
        <v>1708</v>
      </c>
      <c r="AI262" s="79">
        <v>4.65E-2</v>
      </c>
      <c r="AJ262" s="78">
        <v>5952</v>
      </c>
      <c r="AK262" s="79">
        <v>0</v>
      </c>
      <c r="AL262" s="79">
        <v>0</v>
      </c>
      <c r="AM262" s="80" t="str">
        <f t="shared" ref="AM262:AM312" si="8">C262&amp;AG262&amp;AI262&amp;AK262</f>
        <v>17.160,0150,04650</v>
      </c>
      <c r="AN262" t="str">
        <f t="shared" ref="AN262:AN312" si="9">C262&amp;AG262&amp;AI262&amp;AL262</f>
        <v>17.160,0150,04650</v>
      </c>
    </row>
    <row r="263" spans="2:40" ht="18" customHeight="1">
      <c r="B263" s="71">
        <v>258</v>
      </c>
      <c r="C263" s="81" t="s">
        <v>654</v>
      </c>
      <c r="D263" s="71" t="s">
        <v>1243</v>
      </c>
      <c r="E263" s="82" t="s">
        <v>1242</v>
      </c>
      <c r="F263" s="85" t="s">
        <v>1244</v>
      </c>
      <c r="G263" s="74">
        <v>0.05</v>
      </c>
      <c r="H263" s="74" t="s">
        <v>824</v>
      </c>
      <c r="I263" s="74">
        <v>0.02</v>
      </c>
      <c r="J263" s="75" t="s">
        <v>824</v>
      </c>
      <c r="K263" s="75"/>
      <c r="L263" s="75"/>
      <c r="M263" s="75"/>
      <c r="N263" s="75"/>
      <c r="O263" s="75"/>
      <c r="P263" s="75"/>
      <c r="Q263" s="75"/>
      <c r="R263" s="75"/>
      <c r="S263" s="75"/>
      <c r="T263" s="75"/>
      <c r="U263" s="75"/>
      <c r="V263" s="75"/>
      <c r="W263" s="74">
        <v>0.05</v>
      </c>
      <c r="X263" s="75" t="s">
        <v>824</v>
      </c>
      <c r="Y263" s="74">
        <v>0.05</v>
      </c>
      <c r="Z263" s="75"/>
      <c r="AA263" s="74">
        <v>0.05</v>
      </c>
      <c r="AB263" s="75" t="s">
        <v>824</v>
      </c>
      <c r="AC263" s="76">
        <v>0.05</v>
      </c>
      <c r="AD263" s="76" t="s">
        <v>824</v>
      </c>
      <c r="AE263" s="76">
        <v>0.02</v>
      </c>
      <c r="AF263" s="75" t="s">
        <v>824</v>
      </c>
      <c r="AG263" s="79">
        <v>1.4999999999999999E-2</v>
      </c>
      <c r="AH263" s="78">
        <v>1708</v>
      </c>
      <c r="AI263" s="79">
        <v>4.65E-2</v>
      </c>
      <c r="AJ263" s="78">
        <v>5952</v>
      </c>
      <c r="AK263" s="79">
        <v>0.11</v>
      </c>
      <c r="AL263" s="79">
        <v>3.5000000000000003E-2</v>
      </c>
      <c r="AM263" s="80" t="str">
        <f t="shared" si="8"/>
        <v>17.160,0150,04650,11</v>
      </c>
      <c r="AN263" t="str">
        <f t="shared" si="9"/>
        <v>17.160,0150,04650,035</v>
      </c>
    </row>
    <row r="264" spans="2:40" ht="18" customHeight="1">
      <c r="B264" s="71">
        <v>259</v>
      </c>
      <c r="C264" s="81" t="s">
        <v>657</v>
      </c>
      <c r="D264" s="71" t="s">
        <v>1245</v>
      </c>
      <c r="E264" s="82" t="s">
        <v>1246</v>
      </c>
      <c r="F264" s="85" t="s">
        <v>838</v>
      </c>
      <c r="G264" s="74">
        <v>0.05</v>
      </c>
      <c r="H264" s="74" t="s">
        <v>824</v>
      </c>
      <c r="I264" s="74">
        <v>0.05</v>
      </c>
      <c r="J264" s="75" t="s">
        <v>824</v>
      </c>
      <c r="K264" s="75"/>
      <c r="L264" s="75"/>
      <c r="M264" s="75"/>
      <c r="N264" s="75"/>
      <c r="O264" s="75"/>
      <c r="P264" s="75"/>
      <c r="Q264" s="75"/>
      <c r="R264" s="75"/>
      <c r="S264" s="75"/>
      <c r="T264" s="75"/>
      <c r="U264" s="75"/>
      <c r="V264" s="75"/>
      <c r="W264" s="74">
        <v>0.05</v>
      </c>
      <c r="X264" s="75" t="s">
        <v>824</v>
      </c>
      <c r="Y264" s="74">
        <v>0.05</v>
      </c>
      <c r="Z264" s="75"/>
      <c r="AA264" s="74">
        <v>0.05</v>
      </c>
      <c r="AB264" s="75" t="s">
        <v>824</v>
      </c>
      <c r="AC264" s="76">
        <v>0.05</v>
      </c>
      <c r="AD264" s="76" t="s">
        <v>824</v>
      </c>
      <c r="AE264" s="76">
        <v>0.02</v>
      </c>
      <c r="AF264" s="75" t="s">
        <v>824</v>
      </c>
      <c r="AG264" s="79">
        <v>1.4999999999999999E-2</v>
      </c>
      <c r="AH264" s="78">
        <v>1708</v>
      </c>
      <c r="AI264" s="79">
        <v>4.65E-2</v>
      </c>
      <c r="AJ264" s="78">
        <v>5952</v>
      </c>
      <c r="AK264" s="79">
        <v>0</v>
      </c>
      <c r="AL264" s="79">
        <v>0</v>
      </c>
      <c r="AM264" s="80" t="str">
        <f t="shared" si="8"/>
        <v>17.170,0150,04650</v>
      </c>
      <c r="AN264" t="str">
        <f t="shared" si="9"/>
        <v>17.170,0150,04650</v>
      </c>
    </row>
    <row r="265" spans="2:40" ht="18" customHeight="1">
      <c r="B265" s="71">
        <v>260</v>
      </c>
      <c r="C265" s="81" t="s">
        <v>660</v>
      </c>
      <c r="D265" s="71" t="s">
        <v>1247</v>
      </c>
      <c r="E265" s="82" t="s">
        <v>1248</v>
      </c>
      <c r="F265" s="85" t="s">
        <v>838</v>
      </c>
      <c r="G265" s="74">
        <v>0.05</v>
      </c>
      <c r="H265" s="74" t="s">
        <v>824</v>
      </c>
      <c r="I265" s="74">
        <v>0.05</v>
      </c>
      <c r="J265" s="75" t="s">
        <v>824</v>
      </c>
      <c r="K265" s="75"/>
      <c r="L265" s="75"/>
      <c r="M265" s="75"/>
      <c r="N265" s="75"/>
      <c r="O265" s="75"/>
      <c r="P265" s="75"/>
      <c r="Q265" s="75"/>
      <c r="R265" s="75"/>
      <c r="S265" s="75"/>
      <c r="T265" s="75"/>
      <c r="U265" s="75"/>
      <c r="V265" s="75"/>
      <c r="W265" s="74">
        <v>0.05</v>
      </c>
      <c r="X265" s="75" t="s">
        <v>824</v>
      </c>
      <c r="Y265" s="74">
        <v>0.05</v>
      </c>
      <c r="Z265" s="75"/>
      <c r="AA265" s="74">
        <v>0.05</v>
      </c>
      <c r="AB265" s="75" t="s">
        <v>824</v>
      </c>
      <c r="AC265" s="76">
        <v>0.05</v>
      </c>
      <c r="AD265" s="76" t="s">
        <v>824</v>
      </c>
      <c r="AE265" s="76">
        <v>0.02</v>
      </c>
      <c r="AF265" s="75" t="s">
        <v>824</v>
      </c>
      <c r="AG265" s="79">
        <v>1.4999999999999999E-2</v>
      </c>
      <c r="AH265" s="78">
        <v>1708</v>
      </c>
      <c r="AI265" s="79">
        <v>4.65E-2</v>
      </c>
      <c r="AJ265" s="78">
        <v>5952</v>
      </c>
      <c r="AK265" s="79">
        <v>0</v>
      </c>
      <c r="AL265" s="79">
        <v>0</v>
      </c>
      <c r="AM265" s="80" t="str">
        <f t="shared" si="8"/>
        <v>17.180,0150,04650</v>
      </c>
      <c r="AN265" t="str">
        <f t="shared" si="9"/>
        <v>17.180,0150,04650</v>
      </c>
    </row>
    <row r="266" spans="2:40" ht="18" customHeight="1">
      <c r="B266" s="71">
        <v>261</v>
      </c>
      <c r="C266" s="81" t="s">
        <v>663</v>
      </c>
      <c r="D266" s="71" t="s">
        <v>1249</v>
      </c>
      <c r="E266" s="82" t="s">
        <v>1250</v>
      </c>
      <c r="F266" s="85" t="s">
        <v>838</v>
      </c>
      <c r="G266" s="74">
        <v>0.05</v>
      </c>
      <c r="H266" s="74" t="s">
        <v>824</v>
      </c>
      <c r="I266" s="74">
        <v>0.02</v>
      </c>
      <c r="J266" s="75" t="s">
        <v>824</v>
      </c>
      <c r="K266" s="75"/>
      <c r="L266" s="75"/>
      <c r="M266" s="75"/>
      <c r="N266" s="75"/>
      <c r="O266" s="75"/>
      <c r="P266" s="75"/>
      <c r="Q266" s="75"/>
      <c r="R266" s="75"/>
      <c r="S266" s="75"/>
      <c r="T266" s="75"/>
      <c r="U266" s="75"/>
      <c r="V266" s="75"/>
      <c r="W266" s="74">
        <v>0.05</v>
      </c>
      <c r="X266" s="75" t="s">
        <v>824</v>
      </c>
      <c r="Y266" s="74">
        <v>0.05</v>
      </c>
      <c r="Z266" s="75"/>
      <c r="AA266" s="74">
        <v>0.05</v>
      </c>
      <c r="AB266" s="75" t="s">
        <v>824</v>
      </c>
      <c r="AC266" s="76">
        <v>0.05</v>
      </c>
      <c r="AD266" s="76" t="s">
        <v>824</v>
      </c>
      <c r="AE266" s="76">
        <v>0.03</v>
      </c>
      <c r="AF266" s="75" t="s">
        <v>824</v>
      </c>
      <c r="AG266" s="79">
        <v>1.4999999999999999E-2</v>
      </c>
      <c r="AH266" s="78">
        <v>1708</v>
      </c>
      <c r="AI266" s="79">
        <v>4.65E-2</v>
      </c>
      <c r="AJ266" s="78">
        <v>5952</v>
      </c>
      <c r="AK266" s="79">
        <v>0</v>
      </c>
      <c r="AL266" s="79">
        <v>0</v>
      </c>
      <c r="AM266" s="80" t="str">
        <f t="shared" si="8"/>
        <v>17.190,0150,04650</v>
      </c>
      <c r="AN266" t="str">
        <f t="shared" si="9"/>
        <v>17.190,0150,04650</v>
      </c>
    </row>
    <row r="267" spans="2:40" ht="18" customHeight="1">
      <c r="B267" s="71">
        <v>262</v>
      </c>
      <c r="C267" s="81" t="s">
        <v>663</v>
      </c>
      <c r="D267" s="71" t="s">
        <v>1251</v>
      </c>
      <c r="E267" s="82" t="s">
        <v>1250</v>
      </c>
      <c r="F267" s="85" t="s">
        <v>840</v>
      </c>
      <c r="G267" s="74">
        <v>0.05</v>
      </c>
      <c r="H267" s="74" t="s">
        <v>824</v>
      </c>
      <c r="I267" s="74">
        <v>0.02</v>
      </c>
      <c r="J267" s="75" t="s">
        <v>824</v>
      </c>
      <c r="K267" s="75"/>
      <c r="L267" s="75"/>
      <c r="M267" s="75"/>
      <c r="N267" s="75"/>
      <c r="O267" s="75"/>
      <c r="P267" s="75"/>
      <c r="Q267" s="75"/>
      <c r="R267" s="75"/>
      <c r="S267" s="75"/>
      <c r="T267" s="75"/>
      <c r="U267" s="75"/>
      <c r="V267" s="75"/>
      <c r="W267" s="74">
        <v>0.05</v>
      </c>
      <c r="X267" s="75" t="s">
        <v>824</v>
      </c>
      <c r="Y267" s="74">
        <v>0.05</v>
      </c>
      <c r="Z267" s="75"/>
      <c r="AA267" s="74">
        <v>0.05</v>
      </c>
      <c r="AB267" s="75" t="s">
        <v>824</v>
      </c>
      <c r="AC267" s="76">
        <v>0.05</v>
      </c>
      <c r="AD267" s="76" t="s">
        <v>824</v>
      </c>
      <c r="AE267" s="76">
        <v>0.03</v>
      </c>
      <c r="AF267" s="75" t="s">
        <v>824</v>
      </c>
      <c r="AG267" s="79">
        <v>1.4999999999999999E-2</v>
      </c>
      <c r="AH267" s="78">
        <v>1708</v>
      </c>
      <c r="AI267" s="79">
        <v>4.65E-2</v>
      </c>
      <c r="AJ267" s="78">
        <v>5952</v>
      </c>
      <c r="AK267" s="79">
        <v>0.11</v>
      </c>
      <c r="AL267" s="79">
        <v>3.5000000000000003E-2</v>
      </c>
      <c r="AM267" s="80" t="str">
        <f t="shared" si="8"/>
        <v>17.190,0150,04650,11</v>
      </c>
      <c r="AN267" t="str">
        <f t="shared" si="9"/>
        <v>17.190,0150,04650,035</v>
      </c>
    </row>
    <row r="268" spans="2:40" ht="18" customHeight="1">
      <c r="B268" s="71">
        <v>263</v>
      </c>
      <c r="C268" s="81" t="s">
        <v>666</v>
      </c>
      <c r="D268" s="71" t="s">
        <v>1252</v>
      </c>
      <c r="E268" s="82" t="s">
        <v>1253</v>
      </c>
      <c r="F268" s="85" t="s">
        <v>838</v>
      </c>
      <c r="G268" s="74">
        <v>0.05</v>
      </c>
      <c r="H268" s="74" t="s">
        <v>824</v>
      </c>
      <c r="I268" s="74">
        <v>0.05</v>
      </c>
      <c r="J268" s="75" t="s">
        <v>824</v>
      </c>
      <c r="K268" s="75"/>
      <c r="L268" s="75"/>
      <c r="M268" s="75"/>
      <c r="N268" s="75"/>
      <c r="O268" s="75"/>
      <c r="P268" s="75"/>
      <c r="Q268" s="75"/>
      <c r="R268" s="75"/>
      <c r="S268" s="75"/>
      <c r="T268" s="75"/>
      <c r="U268" s="75"/>
      <c r="V268" s="75"/>
      <c r="W268" s="74">
        <v>0.05</v>
      </c>
      <c r="X268" s="75" t="s">
        <v>824</v>
      </c>
      <c r="Y268" s="74">
        <v>0.05</v>
      </c>
      <c r="Z268" s="75"/>
      <c r="AA268" s="74">
        <v>0.05</v>
      </c>
      <c r="AB268" s="75" t="s">
        <v>824</v>
      </c>
      <c r="AC268" s="76">
        <v>0.05</v>
      </c>
      <c r="AD268" s="76" t="s">
        <v>824</v>
      </c>
      <c r="AE268" s="76">
        <v>0.03</v>
      </c>
      <c r="AF268" s="75" t="s">
        <v>824</v>
      </c>
      <c r="AG268" s="79">
        <v>1.4999999999999999E-2</v>
      </c>
      <c r="AH268" s="78">
        <v>1708</v>
      </c>
      <c r="AI268" s="79">
        <v>4.65E-2</v>
      </c>
      <c r="AJ268" s="78">
        <v>5952</v>
      </c>
      <c r="AK268" s="79">
        <v>0</v>
      </c>
      <c r="AL268" s="79">
        <v>0</v>
      </c>
      <c r="AM268" s="80" t="str">
        <f t="shared" si="8"/>
        <v>17.200,0150,04650</v>
      </c>
      <c r="AN268" t="str">
        <f t="shared" si="9"/>
        <v>17.200,0150,04650</v>
      </c>
    </row>
    <row r="269" spans="2:40" ht="18" customHeight="1">
      <c r="B269" s="71">
        <v>264</v>
      </c>
      <c r="C269" s="81" t="s">
        <v>669</v>
      </c>
      <c r="D269" s="71" t="s">
        <v>1254</v>
      </c>
      <c r="E269" s="82" t="s">
        <v>1255</v>
      </c>
      <c r="F269" s="85" t="s">
        <v>838</v>
      </c>
      <c r="G269" s="74">
        <v>0.05</v>
      </c>
      <c r="H269" s="74" t="s">
        <v>824</v>
      </c>
      <c r="I269" s="74">
        <v>0.05</v>
      </c>
      <c r="J269" s="75" t="s">
        <v>824</v>
      </c>
      <c r="K269" s="75"/>
      <c r="L269" s="75"/>
      <c r="M269" s="75"/>
      <c r="N269" s="75"/>
      <c r="O269" s="75"/>
      <c r="P269" s="75"/>
      <c r="Q269" s="75"/>
      <c r="R269" s="75"/>
      <c r="S269" s="75"/>
      <c r="T269" s="75"/>
      <c r="U269" s="75"/>
      <c r="V269" s="75"/>
      <c r="W269" s="74">
        <v>0.05</v>
      </c>
      <c r="X269" s="75" t="s">
        <v>824</v>
      </c>
      <c r="Y269" s="74">
        <v>0.05</v>
      </c>
      <c r="Z269" s="75"/>
      <c r="AA269" s="74">
        <v>0.05</v>
      </c>
      <c r="AB269" s="75" t="s">
        <v>824</v>
      </c>
      <c r="AC269" s="76">
        <v>0.05</v>
      </c>
      <c r="AD269" s="76" t="s">
        <v>824</v>
      </c>
      <c r="AE269" s="76">
        <v>0.02</v>
      </c>
      <c r="AF269" s="75" t="s">
        <v>824</v>
      </c>
      <c r="AG269" s="79">
        <v>1.4999999999999999E-2</v>
      </c>
      <c r="AH269" s="78">
        <v>1708</v>
      </c>
      <c r="AI269" s="79">
        <v>4.65E-2</v>
      </c>
      <c r="AJ269" s="78">
        <v>5952</v>
      </c>
      <c r="AK269" s="79">
        <v>0</v>
      </c>
      <c r="AL269" s="79">
        <v>0</v>
      </c>
      <c r="AM269" s="80" t="str">
        <f t="shared" si="8"/>
        <v>17.210,0150,04650</v>
      </c>
      <c r="AN269" t="str">
        <f t="shared" si="9"/>
        <v>17.210,0150,04650</v>
      </c>
    </row>
    <row r="270" spans="2:40" ht="18" customHeight="1">
      <c r="B270" s="71">
        <v>265</v>
      </c>
      <c r="C270" s="81" t="s">
        <v>672</v>
      </c>
      <c r="D270" s="71" t="s">
        <v>1256</v>
      </c>
      <c r="E270" s="82" t="s">
        <v>1257</v>
      </c>
      <c r="F270" s="85" t="s">
        <v>838</v>
      </c>
      <c r="G270" s="74">
        <v>0.05</v>
      </c>
      <c r="H270" s="74" t="s">
        <v>824</v>
      </c>
      <c r="I270" s="74">
        <v>0.05</v>
      </c>
      <c r="J270" s="75" t="s">
        <v>824</v>
      </c>
      <c r="K270" s="75"/>
      <c r="L270" s="75"/>
      <c r="M270" s="75"/>
      <c r="N270" s="75"/>
      <c r="O270" s="75"/>
      <c r="P270" s="75"/>
      <c r="Q270" s="75"/>
      <c r="R270" s="75"/>
      <c r="S270" s="75"/>
      <c r="T270" s="75"/>
      <c r="U270" s="75"/>
      <c r="V270" s="75"/>
      <c r="W270" s="74">
        <v>0.05</v>
      </c>
      <c r="X270" s="75" t="s">
        <v>824</v>
      </c>
      <c r="Y270" s="74">
        <v>0.05</v>
      </c>
      <c r="Z270" s="75"/>
      <c r="AA270" s="74">
        <v>0.05</v>
      </c>
      <c r="AB270" s="75" t="s">
        <v>824</v>
      </c>
      <c r="AC270" s="76">
        <v>0.05</v>
      </c>
      <c r="AD270" s="76" t="s">
        <v>824</v>
      </c>
      <c r="AE270" s="76">
        <v>0.03</v>
      </c>
      <c r="AF270" s="75" t="s">
        <v>824</v>
      </c>
      <c r="AG270" s="79">
        <v>0</v>
      </c>
      <c r="AH270" s="78">
        <v>0</v>
      </c>
      <c r="AI270" s="79">
        <v>0</v>
      </c>
      <c r="AJ270" s="78">
        <v>0</v>
      </c>
      <c r="AK270" s="79">
        <v>0</v>
      </c>
      <c r="AL270" s="79">
        <v>0</v>
      </c>
      <c r="AM270" s="80" t="str">
        <f t="shared" si="8"/>
        <v>17.22000</v>
      </c>
      <c r="AN270" t="str">
        <f t="shared" si="9"/>
        <v>17.22000</v>
      </c>
    </row>
    <row r="271" spans="2:40" ht="18" customHeight="1">
      <c r="B271" s="71">
        <v>266</v>
      </c>
      <c r="C271" s="81" t="s">
        <v>675</v>
      </c>
      <c r="D271" s="71" t="s">
        <v>1258</v>
      </c>
      <c r="E271" s="82" t="s">
        <v>1259</v>
      </c>
      <c r="F271" s="85" t="s">
        <v>838</v>
      </c>
      <c r="G271" s="74">
        <v>0.05</v>
      </c>
      <c r="H271" s="74" t="s">
        <v>824</v>
      </c>
      <c r="I271" s="74">
        <v>0.05</v>
      </c>
      <c r="J271" s="75" t="s">
        <v>824</v>
      </c>
      <c r="K271" s="75"/>
      <c r="L271" s="75"/>
      <c r="M271" s="75"/>
      <c r="N271" s="75"/>
      <c r="O271" s="75"/>
      <c r="P271" s="75"/>
      <c r="Q271" s="75"/>
      <c r="R271" s="75"/>
      <c r="S271" s="75"/>
      <c r="T271" s="75"/>
      <c r="U271" s="75"/>
      <c r="V271" s="75"/>
      <c r="W271" s="74">
        <v>0.05</v>
      </c>
      <c r="X271" s="75" t="s">
        <v>824</v>
      </c>
      <c r="Y271" s="74">
        <v>0.05</v>
      </c>
      <c r="Z271" s="75"/>
      <c r="AA271" s="74">
        <v>0.05</v>
      </c>
      <c r="AB271" s="75" t="s">
        <v>824</v>
      </c>
      <c r="AC271" s="76">
        <v>0.05</v>
      </c>
      <c r="AD271" s="76" t="s">
        <v>824</v>
      </c>
      <c r="AE271" s="76">
        <v>0.05</v>
      </c>
      <c r="AF271" s="75" t="s">
        <v>824</v>
      </c>
      <c r="AG271" s="79">
        <v>1.4999999999999999E-2</v>
      </c>
      <c r="AH271" s="78">
        <v>5944</v>
      </c>
      <c r="AI271" s="79">
        <v>4.65E-2</v>
      </c>
      <c r="AJ271" s="78">
        <v>5952</v>
      </c>
      <c r="AK271" s="79">
        <v>0</v>
      </c>
      <c r="AL271" s="79">
        <v>0</v>
      </c>
      <c r="AM271" s="80" t="str">
        <f t="shared" si="8"/>
        <v>17.230,0150,04650</v>
      </c>
      <c r="AN271" t="str">
        <f t="shared" si="9"/>
        <v>17.230,0150,04650</v>
      </c>
    </row>
    <row r="272" spans="2:40" ht="18" customHeight="1">
      <c r="B272" s="71">
        <v>267</v>
      </c>
      <c r="C272" s="81" t="s">
        <v>675</v>
      </c>
      <c r="D272" s="71" t="s">
        <v>1260</v>
      </c>
      <c r="E272" s="82" t="s">
        <v>1259</v>
      </c>
      <c r="F272" s="85" t="s">
        <v>1029</v>
      </c>
      <c r="G272" s="74">
        <v>0.05</v>
      </c>
      <c r="H272" s="74" t="s">
        <v>824</v>
      </c>
      <c r="I272" s="74">
        <v>0.05</v>
      </c>
      <c r="J272" s="75" t="s">
        <v>824</v>
      </c>
      <c r="K272" s="75"/>
      <c r="L272" s="75"/>
      <c r="M272" s="75"/>
      <c r="N272" s="75"/>
      <c r="O272" s="75"/>
      <c r="P272" s="75"/>
      <c r="Q272" s="75"/>
      <c r="R272" s="75"/>
      <c r="S272" s="75"/>
      <c r="T272" s="75"/>
      <c r="U272" s="75"/>
      <c r="V272" s="75"/>
      <c r="W272" s="74">
        <v>0.05</v>
      </c>
      <c r="X272" s="75" t="s">
        <v>824</v>
      </c>
      <c r="Y272" s="74">
        <v>0.05</v>
      </c>
      <c r="Z272" s="75"/>
      <c r="AA272" s="74">
        <v>0.05</v>
      </c>
      <c r="AB272" s="75" t="s">
        <v>824</v>
      </c>
      <c r="AC272" s="76">
        <v>0.05</v>
      </c>
      <c r="AD272" s="76" t="s">
        <v>824</v>
      </c>
      <c r="AE272" s="76">
        <v>0.05</v>
      </c>
      <c r="AF272" s="75" t="s">
        <v>824</v>
      </c>
      <c r="AG272" s="79">
        <v>0</v>
      </c>
      <c r="AH272" s="78">
        <v>0</v>
      </c>
      <c r="AI272" s="79">
        <v>0</v>
      </c>
      <c r="AJ272" s="78">
        <v>0</v>
      </c>
      <c r="AK272" s="79">
        <v>0</v>
      </c>
      <c r="AL272" s="79">
        <v>0</v>
      </c>
      <c r="AM272" s="80" t="str">
        <f t="shared" si="8"/>
        <v>17.23000</v>
      </c>
      <c r="AN272" t="str">
        <f t="shared" si="9"/>
        <v>17.23000</v>
      </c>
    </row>
    <row r="273" spans="2:40" ht="18" customHeight="1">
      <c r="B273" s="71">
        <v>268</v>
      </c>
      <c r="C273" s="81" t="s">
        <v>679</v>
      </c>
      <c r="D273" s="71" t="s">
        <v>1261</v>
      </c>
      <c r="E273" s="82" t="s">
        <v>1262</v>
      </c>
      <c r="F273" s="85" t="s">
        <v>838</v>
      </c>
      <c r="G273" s="74">
        <v>0.05</v>
      </c>
      <c r="H273" s="74" t="s">
        <v>824</v>
      </c>
      <c r="I273" s="74">
        <v>0.05</v>
      </c>
      <c r="J273" s="75" t="s">
        <v>824</v>
      </c>
      <c r="K273" s="75"/>
      <c r="L273" s="75"/>
      <c r="M273" s="75"/>
      <c r="N273" s="75"/>
      <c r="O273" s="75"/>
      <c r="P273" s="75"/>
      <c r="Q273" s="75"/>
      <c r="R273" s="75"/>
      <c r="S273" s="75"/>
      <c r="T273" s="75"/>
      <c r="U273" s="75"/>
      <c r="V273" s="75"/>
      <c r="W273" s="74">
        <v>0.05</v>
      </c>
      <c r="X273" s="75" t="s">
        <v>824</v>
      </c>
      <c r="Y273" s="74">
        <v>0.05</v>
      </c>
      <c r="Z273" s="75"/>
      <c r="AA273" s="74">
        <v>0.05</v>
      </c>
      <c r="AB273" s="75" t="s">
        <v>824</v>
      </c>
      <c r="AC273" s="76">
        <v>0.05</v>
      </c>
      <c r="AD273" s="76" t="s">
        <v>824</v>
      </c>
      <c r="AE273" s="76">
        <v>0.02</v>
      </c>
      <c r="AF273" s="75" t="s">
        <v>824</v>
      </c>
      <c r="AG273" s="79">
        <v>1.4999999999999999E-2</v>
      </c>
      <c r="AH273" s="78">
        <v>1708</v>
      </c>
      <c r="AI273" s="79">
        <v>4.65E-2</v>
      </c>
      <c r="AJ273" s="78">
        <v>5952</v>
      </c>
      <c r="AK273" s="79">
        <v>0</v>
      </c>
      <c r="AL273" s="79">
        <v>0</v>
      </c>
      <c r="AM273" s="80" t="str">
        <f t="shared" si="8"/>
        <v>17.240,0150,04650</v>
      </c>
      <c r="AN273" t="str">
        <f t="shared" si="9"/>
        <v>17.240,0150,04650</v>
      </c>
    </row>
    <row r="274" spans="2:40" ht="18" customHeight="1">
      <c r="B274" s="71">
        <v>269</v>
      </c>
      <c r="C274" s="81" t="s">
        <v>682</v>
      </c>
      <c r="D274" s="71" t="s">
        <v>1263</v>
      </c>
      <c r="E274" s="82" t="s">
        <v>1264</v>
      </c>
      <c r="F274" s="85" t="s">
        <v>838</v>
      </c>
      <c r="G274" s="74">
        <v>0.05</v>
      </c>
      <c r="H274" s="74" t="s">
        <v>824</v>
      </c>
      <c r="I274" s="74">
        <v>0.05</v>
      </c>
      <c r="J274" s="75" t="s">
        <v>824</v>
      </c>
      <c r="K274" s="75"/>
      <c r="L274" s="75"/>
      <c r="M274" s="75"/>
      <c r="N274" s="75"/>
      <c r="O274" s="75"/>
      <c r="P274" s="75"/>
      <c r="Q274" s="75"/>
      <c r="R274" s="75"/>
      <c r="S274" s="75"/>
      <c r="T274" s="75"/>
      <c r="U274" s="75"/>
      <c r="V274" s="75"/>
      <c r="W274" s="74">
        <v>0.05</v>
      </c>
      <c r="X274" s="75" t="s">
        <v>824</v>
      </c>
      <c r="Y274" s="74">
        <v>0.03</v>
      </c>
      <c r="Z274" s="75"/>
      <c r="AA274" s="74">
        <v>0.05</v>
      </c>
      <c r="AB274" s="75" t="s">
        <v>824</v>
      </c>
      <c r="AC274" s="76">
        <v>0.02</v>
      </c>
      <c r="AD274" s="76" t="s">
        <v>824</v>
      </c>
      <c r="AE274" s="76">
        <v>0.02</v>
      </c>
      <c r="AF274" s="75" t="s">
        <v>824</v>
      </c>
      <c r="AG274" s="79">
        <v>0</v>
      </c>
      <c r="AH274" s="78">
        <v>0</v>
      </c>
      <c r="AI274" s="79">
        <v>0</v>
      </c>
      <c r="AJ274" s="78">
        <v>0</v>
      </c>
      <c r="AK274" s="79">
        <v>0</v>
      </c>
      <c r="AL274" s="79">
        <v>0</v>
      </c>
      <c r="AM274" s="80" t="str">
        <f t="shared" si="8"/>
        <v>17.25000</v>
      </c>
      <c r="AN274" t="str">
        <f t="shared" si="9"/>
        <v>17.25000</v>
      </c>
    </row>
    <row r="275" spans="2:40" ht="18" customHeight="1">
      <c r="B275" s="71">
        <v>270</v>
      </c>
      <c r="C275" s="81" t="s">
        <v>686</v>
      </c>
      <c r="D275" s="71" t="s">
        <v>1265</v>
      </c>
      <c r="E275" s="82" t="s">
        <v>1266</v>
      </c>
      <c r="F275" s="85" t="s">
        <v>838</v>
      </c>
      <c r="G275" s="74">
        <v>0.05</v>
      </c>
      <c r="H275" s="74" t="s">
        <v>824</v>
      </c>
      <c r="I275" s="74">
        <v>0.05</v>
      </c>
      <c r="J275" s="75" t="s">
        <v>824</v>
      </c>
      <c r="K275" s="75"/>
      <c r="L275" s="75"/>
      <c r="M275" s="75"/>
      <c r="N275" s="75"/>
      <c r="O275" s="75"/>
      <c r="P275" s="75"/>
      <c r="Q275" s="75"/>
      <c r="R275" s="75"/>
      <c r="S275" s="75"/>
      <c r="T275" s="75"/>
      <c r="U275" s="75"/>
      <c r="V275" s="75"/>
      <c r="W275" s="74">
        <v>0.05</v>
      </c>
      <c r="X275" s="75" t="s">
        <v>824</v>
      </c>
      <c r="Y275" s="74">
        <v>0.05</v>
      </c>
      <c r="Z275" s="75"/>
      <c r="AA275" s="74">
        <v>0.05</v>
      </c>
      <c r="AB275" s="75" t="s">
        <v>824</v>
      </c>
      <c r="AC275" s="76">
        <v>0.05</v>
      </c>
      <c r="AD275" s="76" t="s">
        <v>824</v>
      </c>
      <c r="AE275" s="76">
        <v>0.05</v>
      </c>
      <c r="AF275" s="75" t="s">
        <v>824</v>
      </c>
      <c r="AG275" s="79">
        <v>1.4999999999999999E-2</v>
      </c>
      <c r="AH275" s="78">
        <v>1708</v>
      </c>
      <c r="AI275" s="79">
        <v>4.65E-2</v>
      </c>
      <c r="AJ275" s="78">
        <v>5952</v>
      </c>
      <c r="AK275" s="79">
        <v>0</v>
      </c>
      <c r="AL275" s="79">
        <v>0</v>
      </c>
      <c r="AM275" s="80" t="str">
        <f t="shared" si="8"/>
        <v>18.010,0150,04650</v>
      </c>
      <c r="AN275" t="str">
        <f t="shared" si="9"/>
        <v>18.010,0150,04650</v>
      </c>
    </row>
    <row r="276" spans="2:40" ht="18" customHeight="1">
      <c r="B276" s="71">
        <v>271</v>
      </c>
      <c r="C276" s="81" t="s">
        <v>690</v>
      </c>
      <c r="D276" s="71" t="s">
        <v>1267</v>
      </c>
      <c r="E276" s="82" t="s">
        <v>1268</v>
      </c>
      <c r="F276" s="85" t="s">
        <v>838</v>
      </c>
      <c r="G276" s="74">
        <v>0.05</v>
      </c>
      <c r="H276" s="74" t="s">
        <v>824</v>
      </c>
      <c r="I276" s="74">
        <v>0.05</v>
      </c>
      <c r="J276" s="75" t="s">
        <v>824</v>
      </c>
      <c r="K276" s="75"/>
      <c r="L276" s="75"/>
      <c r="M276" s="75"/>
      <c r="N276" s="75"/>
      <c r="O276" s="75"/>
      <c r="P276" s="75"/>
      <c r="Q276" s="75"/>
      <c r="R276" s="75"/>
      <c r="S276" s="75"/>
      <c r="T276" s="75"/>
      <c r="U276" s="75"/>
      <c r="V276" s="75"/>
      <c r="W276" s="74">
        <v>0.05</v>
      </c>
      <c r="X276" s="75" t="s">
        <v>824</v>
      </c>
      <c r="Y276" s="74">
        <v>0.05</v>
      </c>
      <c r="Z276" s="75"/>
      <c r="AA276" s="74">
        <v>0.05</v>
      </c>
      <c r="AB276" s="75" t="s">
        <v>849</v>
      </c>
      <c r="AC276" s="76">
        <v>0.05</v>
      </c>
      <c r="AD276" s="76" t="s">
        <v>824</v>
      </c>
      <c r="AE276" s="76">
        <v>0.02</v>
      </c>
      <c r="AF276" s="75" t="s">
        <v>824</v>
      </c>
      <c r="AG276" s="79">
        <v>1.4999999999999999E-2</v>
      </c>
      <c r="AH276" s="78">
        <v>1708</v>
      </c>
      <c r="AI276" s="79">
        <v>0</v>
      </c>
      <c r="AJ276" s="78">
        <v>0</v>
      </c>
      <c r="AK276" s="79">
        <v>0</v>
      </c>
      <c r="AL276" s="79">
        <v>0</v>
      </c>
      <c r="AM276" s="80" t="str">
        <f t="shared" si="8"/>
        <v>19.010,01500</v>
      </c>
      <c r="AN276" t="str">
        <f t="shared" si="9"/>
        <v>19.010,01500</v>
      </c>
    </row>
    <row r="277" spans="2:40" ht="18" customHeight="1">
      <c r="B277" s="71">
        <v>272</v>
      </c>
      <c r="C277" s="81" t="s">
        <v>694</v>
      </c>
      <c r="D277" s="71" t="s">
        <v>1269</v>
      </c>
      <c r="E277" s="82" t="s">
        <v>1270</v>
      </c>
      <c r="F277" s="85" t="s">
        <v>838</v>
      </c>
      <c r="G277" s="74">
        <v>0.05</v>
      </c>
      <c r="H277" s="74" t="s">
        <v>824</v>
      </c>
      <c r="I277" s="74">
        <v>0.05</v>
      </c>
      <c r="J277" s="75" t="s">
        <v>849</v>
      </c>
      <c r="K277" s="75"/>
      <c r="L277" s="75"/>
      <c r="M277" s="75"/>
      <c r="N277" s="75"/>
      <c r="O277" s="75"/>
      <c r="P277" s="75"/>
      <c r="Q277" s="75"/>
      <c r="R277" s="75"/>
      <c r="S277" s="75"/>
      <c r="T277" s="75"/>
      <c r="U277" s="75"/>
      <c r="V277" s="75"/>
      <c r="W277" s="74">
        <v>0.05</v>
      </c>
      <c r="X277" s="75" t="s">
        <v>849</v>
      </c>
      <c r="Y277" s="74">
        <v>0.05</v>
      </c>
      <c r="Z277" s="75"/>
      <c r="AA277" s="74">
        <v>0.05</v>
      </c>
      <c r="AB277" s="75" t="s">
        <v>849</v>
      </c>
      <c r="AC277" s="76">
        <v>0.05</v>
      </c>
      <c r="AD277" s="76" t="s">
        <v>824</v>
      </c>
      <c r="AE277" s="76">
        <v>0.02</v>
      </c>
      <c r="AF277" s="75" t="s">
        <v>824</v>
      </c>
      <c r="AG277" s="79">
        <v>1.4999999999999999E-2</v>
      </c>
      <c r="AH277" s="78">
        <v>1708</v>
      </c>
      <c r="AI277" s="79">
        <v>4.65E-2</v>
      </c>
      <c r="AJ277" s="78">
        <v>5952</v>
      </c>
      <c r="AK277" s="79">
        <v>0</v>
      </c>
      <c r="AL277" s="79">
        <v>0</v>
      </c>
      <c r="AM277" s="80" t="str">
        <f t="shared" si="8"/>
        <v>20.010,0150,04650</v>
      </c>
      <c r="AN277" t="str">
        <f t="shared" si="9"/>
        <v>20.010,0150,04650</v>
      </c>
    </row>
    <row r="278" spans="2:40" ht="18" customHeight="1">
      <c r="B278" s="71">
        <v>273</v>
      </c>
      <c r="C278" s="81" t="s">
        <v>694</v>
      </c>
      <c r="D278" s="71" t="s">
        <v>1271</v>
      </c>
      <c r="E278" s="82" t="s">
        <v>1270</v>
      </c>
      <c r="F278" s="85" t="s">
        <v>1272</v>
      </c>
      <c r="G278" s="74">
        <v>0.05</v>
      </c>
      <c r="H278" s="74" t="s">
        <v>824</v>
      </c>
      <c r="I278" s="74">
        <v>0.05</v>
      </c>
      <c r="J278" s="75" t="s">
        <v>849</v>
      </c>
      <c r="K278" s="91"/>
      <c r="L278" s="91"/>
      <c r="M278" s="91"/>
      <c r="N278" s="91"/>
      <c r="O278" s="91"/>
      <c r="P278" s="91"/>
      <c r="Q278" s="91"/>
      <c r="R278" s="91"/>
      <c r="S278" s="91"/>
      <c r="T278" s="91"/>
      <c r="U278" s="91"/>
      <c r="V278" s="91"/>
      <c r="W278" s="74">
        <v>0.05</v>
      </c>
      <c r="X278" s="75" t="s">
        <v>849</v>
      </c>
      <c r="Y278" s="74">
        <v>0.05</v>
      </c>
      <c r="Z278" s="91"/>
      <c r="AA278" s="74">
        <v>0.05</v>
      </c>
      <c r="AB278" s="75" t="s">
        <v>849</v>
      </c>
      <c r="AC278" s="76">
        <v>0.05</v>
      </c>
      <c r="AD278" s="76" t="s">
        <v>824</v>
      </c>
      <c r="AE278" s="76">
        <v>0.02</v>
      </c>
      <c r="AF278" s="75" t="s">
        <v>824</v>
      </c>
      <c r="AG278" s="79">
        <v>0</v>
      </c>
      <c r="AH278" s="78">
        <v>0</v>
      </c>
      <c r="AI278" s="79">
        <v>0</v>
      </c>
      <c r="AJ278" s="78">
        <v>0</v>
      </c>
      <c r="AK278" s="79">
        <v>0</v>
      </c>
      <c r="AL278" s="79">
        <v>0</v>
      </c>
      <c r="AM278" s="80" t="str">
        <f t="shared" si="8"/>
        <v>20.01000</v>
      </c>
      <c r="AN278" t="str">
        <f t="shared" si="9"/>
        <v>20.01000</v>
      </c>
    </row>
    <row r="279" spans="2:40" ht="18" customHeight="1">
      <c r="B279" s="71">
        <v>274</v>
      </c>
      <c r="C279" s="81" t="s">
        <v>698</v>
      </c>
      <c r="D279" s="71" t="s">
        <v>1273</v>
      </c>
      <c r="E279" s="82" t="s">
        <v>1274</v>
      </c>
      <c r="F279" s="85" t="s">
        <v>838</v>
      </c>
      <c r="G279" s="74">
        <v>0.05</v>
      </c>
      <c r="H279" s="74" t="s">
        <v>824</v>
      </c>
      <c r="I279" s="74">
        <v>0.05</v>
      </c>
      <c r="J279" s="75" t="s">
        <v>849</v>
      </c>
      <c r="K279" s="79"/>
      <c r="L279" s="79"/>
      <c r="M279" s="78"/>
      <c r="N279" s="78"/>
      <c r="O279" s="91"/>
      <c r="P279" s="91"/>
      <c r="Q279" s="91"/>
      <c r="R279" s="91"/>
      <c r="S279" s="91"/>
      <c r="T279" s="91"/>
      <c r="U279" s="91"/>
      <c r="V279" s="91"/>
      <c r="W279" s="74">
        <v>0.05</v>
      </c>
      <c r="X279" s="75" t="s">
        <v>824</v>
      </c>
      <c r="Y279" s="74">
        <v>0.05</v>
      </c>
      <c r="Z279" s="91"/>
      <c r="AA279" s="74">
        <v>0.05</v>
      </c>
      <c r="AB279" s="75" t="s">
        <v>849</v>
      </c>
      <c r="AC279" s="76">
        <v>0.05</v>
      </c>
      <c r="AD279" s="76" t="s">
        <v>824</v>
      </c>
      <c r="AE279" s="76">
        <v>0.02</v>
      </c>
      <c r="AF279" s="75" t="s">
        <v>824</v>
      </c>
      <c r="AG279" s="79">
        <v>1.4999999999999999E-2</v>
      </c>
      <c r="AH279" s="78">
        <v>1708</v>
      </c>
      <c r="AI279" s="79">
        <v>4.65E-2</v>
      </c>
      <c r="AJ279" s="78">
        <v>5952</v>
      </c>
      <c r="AK279" s="79">
        <v>0</v>
      </c>
      <c r="AL279" s="79">
        <v>0</v>
      </c>
      <c r="AM279" s="80" t="str">
        <f t="shared" si="8"/>
        <v>20.020,0150,04650</v>
      </c>
      <c r="AN279" t="str">
        <f t="shared" si="9"/>
        <v>20.020,0150,04650</v>
      </c>
    </row>
    <row r="280" spans="2:40" ht="18" customHeight="1">
      <c r="B280" s="71">
        <v>275</v>
      </c>
      <c r="C280" s="81" t="s">
        <v>698</v>
      </c>
      <c r="D280" s="71" t="s">
        <v>1275</v>
      </c>
      <c r="E280" s="82" t="s">
        <v>1274</v>
      </c>
      <c r="F280" s="85" t="s">
        <v>1272</v>
      </c>
      <c r="G280" s="74">
        <v>0.05</v>
      </c>
      <c r="H280" s="74" t="s">
        <v>824</v>
      </c>
      <c r="I280" s="74">
        <v>0.05</v>
      </c>
      <c r="J280" s="75" t="s">
        <v>849</v>
      </c>
      <c r="K280" s="79"/>
      <c r="L280" s="79"/>
      <c r="M280" s="78"/>
      <c r="N280" s="78"/>
      <c r="O280" s="75"/>
      <c r="P280" s="75"/>
      <c r="Q280" s="75"/>
      <c r="R280" s="75"/>
      <c r="S280" s="75"/>
      <c r="T280" s="75"/>
      <c r="U280" s="75"/>
      <c r="V280" s="75"/>
      <c r="W280" s="74">
        <v>0.05</v>
      </c>
      <c r="X280" s="75" t="s">
        <v>824</v>
      </c>
      <c r="Y280" s="74">
        <v>0.05</v>
      </c>
      <c r="Z280" s="75"/>
      <c r="AA280" s="74">
        <v>0.05</v>
      </c>
      <c r="AB280" s="75" t="s">
        <v>849</v>
      </c>
      <c r="AC280" s="76">
        <v>0.05</v>
      </c>
      <c r="AD280" s="76" t="s">
        <v>824</v>
      </c>
      <c r="AE280" s="76">
        <v>0.02</v>
      </c>
      <c r="AF280" s="75" t="s">
        <v>824</v>
      </c>
      <c r="AG280" s="79">
        <v>0</v>
      </c>
      <c r="AH280" s="78">
        <v>0</v>
      </c>
      <c r="AI280" s="79">
        <v>0</v>
      </c>
      <c r="AJ280" s="78">
        <v>0</v>
      </c>
      <c r="AK280" s="79">
        <v>0</v>
      </c>
      <c r="AL280" s="79">
        <v>0</v>
      </c>
      <c r="AM280" s="80" t="str">
        <f t="shared" si="8"/>
        <v>20.02000</v>
      </c>
      <c r="AN280" t="str">
        <f t="shared" si="9"/>
        <v>20.02000</v>
      </c>
    </row>
    <row r="281" spans="2:40" ht="18" customHeight="1">
      <c r="B281" s="71">
        <v>276</v>
      </c>
      <c r="C281" s="81" t="s">
        <v>702</v>
      </c>
      <c r="D281" s="71" t="s">
        <v>1276</v>
      </c>
      <c r="E281" s="82" t="s">
        <v>1277</v>
      </c>
      <c r="F281" s="85" t="s">
        <v>838</v>
      </c>
      <c r="G281" s="74">
        <v>0.05</v>
      </c>
      <c r="H281" s="74" t="s">
        <v>824</v>
      </c>
      <c r="I281" s="74">
        <v>0.05</v>
      </c>
      <c r="J281" s="75" t="s">
        <v>849</v>
      </c>
      <c r="K281" s="75"/>
      <c r="L281" s="75"/>
      <c r="M281" s="75"/>
      <c r="N281" s="75"/>
      <c r="O281" s="75"/>
      <c r="P281" s="75"/>
      <c r="Q281" s="75"/>
      <c r="R281" s="75"/>
      <c r="S281" s="75"/>
      <c r="T281" s="75"/>
      <c r="U281" s="75"/>
      <c r="V281" s="75"/>
      <c r="W281" s="74" t="s">
        <v>1036</v>
      </c>
      <c r="X281" s="75" t="s">
        <v>849</v>
      </c>
      <c r="Y281" s="74">
        <v>0.05</v>
      </c>
      <c r="Z281" s="75"/>
      <c r="AA281" s="74">
        <v>0.05</v>
      </c>
      <c r="AB281" s="75" t="s">
        <v>849</v>
      </c>
      <c r="AC281" s="76">
        <v>0.05</v>
      </c>
      <c r="AD281" s="76" t="s">
        <v>824</v>
      </c>
      <c r="AE281" s="76">
        <v>0.02</v>
      </c>
      <c r="AF281" s="75" t="s">
        <v>824</v>
      </c>
      <c r="AG281" s="79">
        <v>0</v>
      </c>
      <c r="AH281" s="78">
        <v>0</v>
      </c>
      <c r="AI281" s="79">
        <v>0</v>
      </c>
      <c r="AJ281" s="78">
        <v>0</v>
      </c>
      <c r="AK281" s="79">
        <v>0</v>
      </c>
      <c r="AL281" s="79">
        <v>0</v>
      </c>
      <c r="AM281" s="80" t="str">
        <f t="shared" si="8"/>
        <v>20.03000</v>
      </c>
      <c r="AN281" t="str">
        <f t="shared" si="9"/>
        <v>20.03000</v>
      </c>
    </row>
    <row r="282" spans="2:40" ht="18" customHeight="1">
      <c r="B282" s="71">
        <v>277</v>
      </c>
      <c r="C282" s="81" t="s">
        <v>702</v>
      </c>
      <c r="D282" s="71" t="s">
        <v>1278</v>
      </c>
      <c r="E282" s="82" t="s">
        <v>1277</v>
      </c>
      <c r="F282" s="85" t="s">
        <v>1279</v>
      </c>
      <c r="G282" s="74">
        <v>0.05</v>
      </c>
      <c r="H282" s="74" t="s">
        <v>824</v>
      </c>
      <c r="I282" s="74">
        <v>0.05</v>
      </c>
      <c r="J282" s="75" t="s">
        <v>849</v>
      </c>
      <c r="K282" s="75"/>
      <c r="L282" s="75"/>
      <c r="M282" s="75"/>
      <c r="N282" s="75"/>
      <c r="O282" s="75"/>
      <c r="P282" s="75"/>
      <c r="Q282" s="75"/>
      <c r="R282" s="75"/>
      <c r="S282" s="75"/>
      <c r="T282" s="75"/>
      <c r="U282" s="75"/>
      <c r="V282" s="75"/>
      <c r="W282" s="74" t="s">
        <v>1036</v>
      </c>
      <c r="X282" s="75" t="s">
        <v>849</v>
      </c>
      <c r="Y282" s="74">
        <v>0.05</v>
      </c>
      <c r="Z282" s="75"/>
      <c r="AA282" s="74">
        <v>0.05</v>
      </c>
      <c r="AB282" s="75" t="s">
        <v>849</v>
      </c>
      <c r="AC282" s="76">
        <v>0.05</v>
      </c>
      <c r="AD282" s="76" t="s">
        <v>824</v>
      </c>
      <c r="AE282" s="76">
        <v>0.02</v>
      </c>
      <c r="AF282" s="75" t="s">
        <v>824</v>
      </c>
      <c r="AG282" s="79">
        <v>1.4999999999999999E-2</v>
      </c>
      <c r="AH282" s="78">
        <v>1708</v>
      </c>
      <c r="AI282" s="79">
        <v>4.65E-2</v>
      </c>
      <c r="AJ282" s="78">
        <v>5952</v>
      </c>
      <c r="AK282" s="79">
        <v>0</v>
      </c>
      <c r="AL282" s="79">
        <v>0</v>
      </c>
      <c r="AM282" s="80" t="str">
        <f t="shared" si="8"/>
        <v>20.030,0150,04650</v>
      </c>
      <c r="AN282" t="str">
        <f t="shared" si="9"/>
        <v>20.030,0150,04650</v>
      </c>
    </row>
    <row r="283" spans="2:40" ht="18" customHeight="1">
      <c r="B283" s="71">
        <v>278</v>
      </c>
      <c r="C283" s="81" t="s">
        <v>705</v>
      </c>
      <c r="D283" s="71" t="s">
        <v>1280</v>
      </c>
      <c r="E283" s="82" t="s">
        <v>1281</v>
      </c>
      <c r="F283" s="85" t="s">
        <v>838</v>
      </c>
      <c r="G283" s="74">
        <v>0.04</v>
      </c>
      <c r="H283" s="74" t="s">
        <v>824</v>
      </c>
      <c r="I283" s="74">
        <v>0.02</v>
      </c>
      <c r="J283" s="75" t="s">
        <v>824</v>
      </c>
      <c r="K283" s="75"/>
      <c r="L283" s="75"/>
      <c r="M283" s="75"/>
      <c r="N283" s="75"/>
      <c r="O283" s="75"/>
      <c r="P283" s="75"/>
      <c r="Q283" s="75"/>
      <c r="R283" s="75"/>
      <c r="S283" s="75"/>
      <c r="T283" s="75"/>
      <c r="U283" s="75"/>
      <c r="V283" s="75"/>
      <c r="W283" s="74">
        <v>0.05</v>
      </c>
      <c r="X283" s="75" t="s">
        <v>824</v>
      </c>
      <c r="Y283" s="74">
        <v>0.05</v>
      </c>
      <c r="Z283" s="75"/>
      <c r="AA283" s="74">
        <v>0.05</v>
      </c>
      <c r="AB283" s="75" t="s">
        <v>824</v>
      </c>
      <c r="AC283" s="76">
        <v>0.05</v>
      </c>
      <c r="AD283" s="76" t="s">
        <v>824</v>
      </c>
      <c r="AE283" s="76">
        <v>0.02</v>
      </c>
      <c r="AF283" s="75" t="s">
        <v>824</v>
      </c>
      <c r="AG283" s="79">
        <v>1.4999999999999999E-2</v>
      </c>
      <c r="AH283" s="78">
        <v>1708</v>
      </c>
      <c r="AI283" s="79">
        <v>4.65E-2</v>
      </c>
      <c r="AJ283" s="78">
        <v>5952</v>
      </c>
      <c r="AK283" s="79">
        <v>0</v>
      </c>
      <c r="AL283" s="79">
        <v>0</v>
      </c>
      <c r="AM283" s="80" t="str">
        <f t="shared" si="8"/>
        <v>21.010,0150,04650</v>
      </c>
      <c r="AN283" t="str">
        <f t="shared" si="9"/>
        <v>21.010,0150,04650</v>
      </c>
    </row>
    <row r="284" spans="2:40" ht="18" customHeight="1">
      <c r="B284" s="71">
        <v>279</v>
      </c>
      <c r="C284" s="81" t="s">
        <v>708</v>
      </c>
      <c r="D284" s="71" t="s">
        <v>1282</v>
      </c>
      <c r="E284" s="82" t="s">
        <v>1283</v>
      </c>
      <c r="F284" s="85" t="s">
        <v>838</v>
      </c>
      <c r="G284" s="74">
        <v>0.05</v>
      </c>
      <c r="H284" s="74" t="s">
        <v>824</v>
      </c>
      <c r="I284" s="74">
        <v>0.05</v>
      </c>
      <c r="J284" s="75" t="s">
        <v>849</v>
      </c>
      <c r="K284" s="75"/>
      <c r="L284" s="75"/>
      <c r="M284" s="75"/>
      <c r="N284" s="75"/>
      <c r="O284" s="75"/>
      <c r="P284" s="75"/>
      <c r="Q284" s="75"/>
      <c r="R284" s="75"/>
      <c r="S284" s="75"/>
      <c r="T284" s="75"/>
      <c r="U284" s="75"/>
      <c r="V284" s="75"/>
      <c r="W284" s="74">
        <v>0.05</v>
      </c>
      <c r="X284" s="75" t="s">
        <v>824</v>
      </c>
      <c r="Y284" s="74">
        <v>0.05</v>
      </c>
      <c r="Z284" s="75"/>
      <c r="AA284" s="74">
        <v>0.05</v>
      </c>
      <c r="AB284" s="75" t="s">
        <v>824</v>
      </c>
      <c r="AC284" s="76">
        <v>0.05</v>
      </c>
      <c r="AD284" s="76" t="s">
        <v>824</v>
      </c>
      <c r="AE284" s="76">
        <v>0.05</v>
      </c>
      <c r="AF284" s="75" t="s">
        <v>824</v>
      </c>
      <c r="AG284" s="79">
        <v>1.4999999999999999E-2</v>
      </c>
      <c r="AH284" s="78">
        <v>1708</v>
      </c>
      <c r="AI284" s="79">
        <v>4.65E-2</v>
      </c>
      <c r="AJ284" s="78">
        <v>5952</v>
      </c>
      <c r="AK284" s="79">
        <v>0</v>
      </c>
      <c r="AL284" s="79">
        <v>0</v>
      </c>
      <c r="AM284" s="80" t="str">
        <f t="shared" si="8"/>
        <v>22.010,0150,04650</v>
      </c>
      <c r="AN284" t="str">
        <f t="shared" si="9"/>
        <v>22.010,0150,04650</v>
      </c>
    </row>
    <row r="285" spans="2:40" ht="18" customHeight="1">
      <c r="B285" s="71">
        <v>280</v>
      </c>
      <c r="C285" s="81" t="s">
        <v>712</v>
      </c>
      <c r="D285" s="71" t="s">
        <v>1284</v>
      </c>
      <c r="E285" s="82" t="s">
        <v>1285</v>
      </c>
      <c r="F285" s="85" t="s">
        <v>838</v>
      </c>
      <c r="G285" s="74">
        <v>0.05</v>
      </c>
      <c r="H285" s="74" t="s">
        <v>824</v>
      </c>
      <c r="I285" s="74">
        <v>0.05</v>
      </c>
      <c r="J285" s="75" t="s">
        <v>824</v>
      </c>
      <c r="K285" s="75"/>
      <c r="L285" s="75"/>
      <c r="M285" s="75"/>
      <c r="N285" s="75"/>
      <c r="O285" s="75"/>
      <c r="P285" s="75"/>
      <c r="Q285" s="75"/>
      <c r="R285" s="75"/>
      <c r="S285" s="75"/>
      <c r="T285" s="75"/>
      <c r="U285" s="75"/>
      <c r="V285" s="75"/>
      <c r="W285" s="74">
        <v>0.05</v>
      </c>
      <c r="X285" s="75" t="s">
        <v>824</v>
      </c>
      <c r="Y285" s="74">
        <v>0.05</v>
      </c>
      <c r="Z285" s="75"/>
      <c r="AA285" s="74">
        <v>0.05</v>
      </c>
      <c r="AB285" s="75" t="s">
        <v>824</v>
      </c>
      <c r="AC285" s="76">
        <v>0.02</v>
      </c>
      <c r="AD285" s="76" t="s">
        <v>824</v>
      </c>
      <c r="AE285" s="76">
        <v>0.03</v>
      </c>
      <c r="AF285" s="75" t="s">
        <v>824</v>
      </c>
      <c r="AG285" s="79">
        <v>1.4999999999999999E-2</v>
      </c>
      <c r="AH285" s="78">
        <v>1708</v>
      </c>
      <c r="AI285" s="79">
        <v>4.65E-2</v>
      </c>
      <c r="AJ285" s="78">
        <v>5952</v>
      </c>
      <c r="AK285" s="79">
        <v>0</v>
      </c>
      <c r="AL285" s="79">
        <v>0</v>
      </c>
      <c r="AM285" s="80" t="str">
        <f t="shared" si="8"/>
        <v>23.010,0150,04650</v>
      </c>
      <c r="AN285" t="str">
        <f t="shared" si="9"/>
        <v>23.010,0150,04650</v>
      </c>
    </row>
    <row r="286" spans="2:40" ht="18" customHeight="1">
      <c r="B286" s="71">
        <v>281</v>
      </c>
      <c r="C286" s="81" t="s">
        <v>715</v>
      </c>
      <c r="D286" s="71" t="s">
        <v>1286</v>
      </c>
      <c r="E286" s="82" t="s">
        <v>1287</v>
      </c>
      <c r="F286" s="85" t="s">
        <v>838</v>
      </c>
      <c r="G286" s="74">
        <v>0.05</v>
      </c>
      <c r="H286" s="74" t="s">
        <v>824</v>
      </c>
      <c r="I286" s="74">
        <v>0.05</v>
      </c>
      <c r="J286" s="75" t="s">
        <v>824</v>
      </c>
      <c r="K286" s="75"/>
      <c r="L286" s="75"/>
      <c r="M286" s="75"/>
      <c r="N286" s="75"/>
      <c r="O286" s="75"/>
      <c r="P286" s="75"/>
      <c r="Q286" s="75"/>
      <c r="R286" s="75"/>
      <c r="S286" s="75"/>
      <c r="T286" s="75"/>
      <c r="U286" s="75"/>
      <c r="V286" s="75"/>
      <c r="W286" s="74" t="s">
        <v>1036</v>
      </c>
      <c r="X286" s="75" t="s">
        <v>849</v>
      </c>
      <c r="Y286" s="74">
        <v>0.05</v>
      </c>
      <c r="Z286" s="75"/>
      <c r="AA286" s="74">
        <v>0.05</v>
      </c>
      <c r="AB286" s="75" t="s">
        <v>824</v>
      </c>
      <c r="AC286" s="76">
        <v>0.05</v>
      </c>
      <c r="AD286" s="76" t="s">
        <v>824</v>
      </c>
      <c r="AE286" s="76">
        <v>0.02</v>
      </c>
      <c r="AF286" s="75" t="s">
        <v>824</v>
      </c>
      <c r="AG286" s="79">
        <v>0</v>
      </c>
      <c r="AH286" s="78">
        <v>0</v>
      </c>
      <c r="AI286" s="79">
        <v>0</v>
      </c>
      <c r="AJ286" s="78">
        <v>0</v>
      </c>
      <c r="AK286" s="79">
        <v>0</v>
      </c>
      <c r="AL286" s="79">
        <v>0</v>
      </c>
      <c r="AM286" s="80" t="str">
        <f t="shared" si="8"/>
        <v>24.01000</v>
      </c>
      <c r="AN286" t="str">
        <f t="shared" si="9"/>
        <v>24.01000</v>
      </c>
    </row>
    <row r="287" spans="2:40" ht="18" customHeight="1">
      <c r="B287" s="71">
        <v>282</v>
      </c>
      <c r="C287" s="81" t="s">
        <v>718</v>
      </c>
      <c r="D287" s="71" t="s">
        <v>1288</v>
      </c>
      <c r="E287" s="82" t="s">
        <v>1289</v>
      </c>
      <c r="F287" s="85" t="s">
        <v>838</v>
      </c>
      <c r="G287" s="74">
        <v>0.05</v>
      </c>
      <c r="H287" s="74" t="s">
        <v>824</v>
      </c>
      <c r="I287" s="74">
        <v>0.03</v>
      </c>
      <c r="J287" s="75" t="s">
        <v>824</v>
      </c>
      <c r="K287" s="75"/>
      <c r="L287" s="75"/>
      <c r="M287" s="75"/>
      <c r="N287" s="75"/>
      <c r="O287" s="75"/>
      <c r="P287" s="75"/>
      <c r="Q287" s="75"/>
      <c r="R287" s="75"/>
      <c r="S287" s="75"/>
      <c r="T287" s="75"/>
      <c r="U287" s="75"/>
      <c r="V287" s="75"/>
      <c r="W287" s="74">
        <v>0.05</v>
      </c>
      <c r="X287" s="75" t="s">
        <v>824</v>
      </c>
      <c r="Y287" s="74">
        <v>0.05</v>
      </c>
      <c r="Z287" s="75"/>
      <c r="AA287" s="74">
        <v>0.05</v>
      </c>
      <c r="AB287" s="75" t="s">
        <v>824</v>
      </c>
      <c r="AC287" s="76">
        <v>0.05</v>
      </c>
      <c r="AD287" s="76" t="s">
        <v>824</v>
      </c>
      <c r="AE287" s="76">
        <v>0.02</v>
      </c>
      <c r="AF287" s="75" t="s">
        <v>824</v>
      </c>
      <c r="AG287" s="79">
        <v>0</v>
      </c>
      <c r="AH287" s="78">
        <v>0</v>
      </c>
      <c r="AI287" s="79">
        <v>0</v>
      </c>
      <c r="AJ287" s="78">
        <v>0</v>
      </c>
      <c r="AK287" s="79">
        <v>0</v>
      </c>
      <c r="AL287" s="79">
        <v>0</v>
      </c>
      <c r="AM287" s="80" t="str">
        <f t="shared" si="8"/>
        <v>25.01000</v>
      </c>
      <c r="AN287" t="str">
        <f t="shared" si="9"/>
        <v>25.01000</v>
      </c>
    </row>
    <row r="288" spans="2:40" ht="18" customHeight="1">
      <c r="B288" s="71">
        <v>283</v>
      </c>
      <c r="C288" s="81" t="s">
        <v>722</v>
      </c>
      <c r="D288" s="71" t="s">
        <v>1290</v>
      </c>
      <c r="E288" s="82" t="s">
        <v>1291</v>
      </c>
      <c r="F288" s="85" t="s">
        <v>838</v>
      </c>
      <c r="G288" s="74">
        <v>0.05</v>
      </c>
      <c r="H288" s="74" t="s">
        <v>824</v>
      </c>
      <c r="I288" s="74">
        <v>0.03</v>
      </c>
      <c r="J288" s="75" t="s">
        <v>824</v>
      </c>
      <c r="K288" s="75"/>
      <c r="L288" s="75"/>
      <c r="M288" s="75"/>
      <c r="N288" s="75"/>
      <c r="O288" s="75"/>
      <c r="P288" s="75"/>
      <c r="Q288" s="75"/>
      <c r="R288" s="75"/>
      <c r="S288" s="75"/>
      <c r="T288" s="75"/>
      <c r="U288" s="75"/>
      <c r="V288" s="75"/>
      <c r="W288" s="74">
        <v>0.05</v>
      </c>
      <c r="X288" s="75" t="s">
        <v>824</v>
      </c>
      <c r="Y288" s="74">
        <v>0.05</v>
      </c>
      <c r="Z288" s="75"/>
      <c r="AA288" s="74">
        <v>0.05</v>
      </c>
      <c r="AB288" s="75" t="s">
        <v>824</v>
      </c>
      <c r="AC288" s="76">
        <v>0.05</v>
      </c>
      <c r="AD288" s="76" t="s">
        <v>824</v>
      </c>
      <c r="AE288" s="76">
        <v>0.02</v>
      </c>
      <c r="AF288" s="75" t="s">
        <v>824</v>
      </c>
      <c r="AG288" s="79">
        <v>0</v>
      </c>
      <c r="AH288" s="78">
        <v>0</v>
      </c>
      <c r="AI288" s="79">
        <v>0</v>
      </c>
      <c r="AJ288" s="78">
        <v>0</v>
      </c>
      <c r="AK288" s="79">
        <v>0</v>
      </c>
      <c r="AL288" s="79">
        <v>0</v>
      </c>
      <c r="AM288" s="80" t="str">
        <f t="shared" si="8"/>
        <v>25.02000</v>
      </c>
      <c r="AN288" t="str">
        <f t="shared" si="9"/>
        <v>25.02000</v>
      </c>
    </row>
    <row r="289" spans="2:40" ht="18" customHeight="1">
      <c r="B289" s="71">
        <v>284</v>
      </c>
      <c r="C289" s="81" t="s">
        <v>725</v>
      </c>
      <c r="D289" s="71" t="s">
        <v>1292</v>
      </c>
      <c r="E289" s="82" t="s">
        <v>1293</v>
      </c>
      <c r="F289" s="85" t="s">
        <v>838</v>
      </c>
      <c r="G289" s="74">
        <v>0.05</v>
      </c>
      <c r="H289" s="74" t="s">
        <v>824</v>
      </c>
      <c r="I289" s="74">
        <v>0.03</v>
      </c>
      <c r="J289" s="75" t="s">
        <v>824</v>
      </c>
      <c r="K289" s="75"/>
      <c r="L289" s="75"/>
      <c r="M289" s="75"/>
      <c r="N289" s="75"/>
      <c r="O289" s="75"/>
      <c r="P289" s="75"/>
      <c r="Q289" s="75"/>
      <c r="R289" s="75"/>
      <c r="S289" s="75"/>
      <c r="T289" s="75"/>
      <c r="U289" s="75"/>
      <c r="V289" s="75"/>
      <c r="W289" s="74">
        <v>0.05</v>
      </c>
      <c r="X289" s="75" t="s">
        <v>824</v>
      </c>
      <c r="Y289" s="74">
        <v>0.05</v>
      </c>
      <c r="Z289" s="75"/>
      <c r="AA289" s="74">
        <v>0.05</v>
      </c>
      <c r="AB289" s="75" t="s">
        <v>824</v>
      </c>
      <c r="AC289" s="76">
        <v>0.05</v>
      </c>
      <c r="AD289" s="76" t="s">
        <v>824</v>
      </c>
      <c r="AE289" s="76">
        <v>0.03</v>
      </c>
      <c r="AF289" s="75" t="s">
        <v>824</v>
      </c>
      <c r="AG289" s="79">
        <v>1.4999999999999999E-2</v>
      </c>
      <c r="AH289" s="78">
        <v>8045</v>
      </c>
      <c r="AI289" s="79">
        <v>0</v>
      </c>
      <c r="AJ289" s="78">
        <v>0</v>
      </c>
      <c r="AK289" s="79">
        <v>0</v>
      </c>
      <c r="AL289" s="79">
        <v>0</v>
      </c>
      <c r="AM289" s="80" t="str">
        <f t="shared" si="8"/>
        <v>25.030,01500</v>
      </c>
      <c r="AN289" t="str">
        <f t="shared" si="9"/>
        <v>25.030,01500</v>
      </c>
    </row>
    <row r="290" spans="2:40" ht="18" customHeight="1">
      <c r="B290" s="71">
        <v>285</v>
      </c>
      <c r="C290" s="81" t="s">
        <v>728</v>
      </c>
      <c r="D290" s="71" t="s">
        <v>1294</v>
      </c>
      <c r="E290" s="82" t="s">
        <v>1295</v>
      </c>
      <c r="F290" s="85" t="s">
        <v>838</v>
      </c>
      <c r="G290" s="74">
        <v>0.05</v>
      </c>
      <c r="H290" s="74" t="s">
        <v>824</v>
      </c>
      <c r="I290" s="74">
        <v>0.03</v>
      </c>
      <c r="J290" s="75" t="s">
        <v>824</v>
      </c>
      <c r="K290" s="75"/>
      <c r="L290" s="75"/>
      <c r="M290" s="75"/>
      <c r="N290" s="75"/>
      <c r="O290" s="75"/>
      <c r="P290" s="75"/>
      <c r="Q290" s="75"/>
      <c r="R290" s="75"/>
      <c r="S290" s="75"/>
      <c r="T290" s="75"/>
      <c r="U290" s="75"/>
      <c r="V290" s="75"/>
      <c r="W290" s="74">
        <v>0.05</v>
      </c>
      <c r="X290" s="75" t="s">
        <v>824</v>
      </c>
      <c r="Y290" s="74">
        <v>0.05</v>
      </c>
      <c r="Z290" s="75"/>
      <c r="AA290" s="74">
        <v>0.05</v>
      </c>
      <c r="AB290" s="75" t="s">
        <v>824</v>
      </c>
      <c r="AC290" s="76">
        <v>0.05</v>
      </c>
      <c r="AD290" s="76" t="s">
        <v>824</v>
      </c>
      <c r="AE290" s="76">
        <v>0.02</v>
      </c>
      <c r="AF290" s="75" t="s">
        <v>824</v>
      </c>
      <c r="AG290" s="79">
        <v>0.01</v>
      </c>
      <c r="AH290" s="78">
        <v>1708</v>
      </c>
      <c r="AI290" s="79">
        <v>4.65E-2</v>
      </c>
      <c r="AJ290" s="78">
        <v>5952</v>
      </c>
      <c r="AK290" s="79">
        <v>0</v>
      </c>
      <c r="AL290" s="79">
        <v>0</v>
      </c>
      <c r="AM290" s="80" t="str">
        <f t="shared" si="8"/>
        <v>25.040,010,04650</v>
      </c>
      <c r="AN290" t="str">
        <f t="shared" si="9"/>
        <v>25.040,010,04650</v>
      </c>
    </row>
    <row r="291" spans="2:40" ht="18" customHeight="1">
      <c r="B291" s="71">
        <v>286</v>
      </c>
      <c r="C291" s="81" t="s">
        <v>731</v>
      </c>
      <c r="D291" s="71" t="s">
        <v>1296</v>
      </c>
      <c r="E291" s="82" t="s">
        <v>1297</v>
      </c>
      <c r="F291" s="85" t="s">
        <v>838</v>
      </c>
      <c r="G291" s="74">
        <v>0.05</v>
      </c>
      <c r="H291" s="74" t="s">
        <v>824</v>
      </c>
      <c r="I291" s="74">
        <v>0.05</v>
      </c>
      <c r="J291" s="75" t="s">
        <v>824</v>
      </c>
      <c r="K291" s="75"/>
      <c r="L291" s="75"/>
      <c r="M291" s="75"/>
      <c r="N291" s="75"/>
      <c r="O291" s="75"/>
      <c r="P291" s="75"/>
      <c r="Q291" s="75"/>
      <c r="R291" s="75"/>
      <c r="S291" s="75"/>
      <c r="T291" s="75"/>
      <c r="U291" s="75"/>
      <c r="V291" s="75"/>
      <c r="W291" s="74">
        <v>0.05</v>
      </c>
      <c r="X291" s="75" t="s">
        <v>824</v>
      </c>
      <c r="Y291" s="74">
        <v>0.05</v>
      </c>
      <c r="Z291" s="75"/>
      <c r="AA291" s="74">
        <v>0.05</v>
      </c>
      <c r="AB291" s="75" t="s">
        <v>824</v>
      </c>
      <c r="AC291" s="76">
        <v>0.05</v>
      </c>
      <c r="AD291" s="76" t="s">
        <v>824</v>
      </c>
      <c r="AE291" s="76">
        <v>0.02</v>
      </c>
      <c r="AF291" s="75" t="s">
        <v>824</v>
      </c>
      <c r="AG291" s="79">
        <v>0</v>
      </c>
      <c r="AH291" s="78">
        <v>0</v>
      </c>
      <c r="AI291" s="79">
        <v>0</v>
      </c>
      <c r="AJ291" s="78">
        <v>0</v>
      </c>
      <c r="AK291" s="79">
        <v>0</v>
      </c>
      <c r="AL291" s="79">
        <v>0</v>
      </c>
      <c r="AM291" s="80" t="str">
        <f t="shared" si="8"/>
        <v>25.05000</v>
      </c>
      <c r="AN291" t="str">
        <f t="shared" si="9"/>
        <v>25.05000</v>
      </c>
    </row>
    <row r="292" spans="2:40" ht="18" customHeight="1">
      <c r="B292" s="71">
        <v>287</v>
      </c>
      <c r="C292" s="81" t="s">
        <v>734</v>
      </c>
      <c r="D292" s="71" t="s">
        <v>1298</v>
      </c>
      <c r="E292" s="82" t="s">
        <v>1299</v>
      </c>
      <c r="F292" s="85" t="s">
        <v>838</v>
      </c>
      <c r="G292" s="74">
        <v>0.05</v>
      </c>
      <c r="H292" s="74" t="s">
        <v>824</v>
      </c>
      <c r="I292" s="74">
        <v>0.05</v>
      </c>
      <c r="J292" s="75" t="s">
        <v>824</v>
      </c>
      <c r="K292" s="75"/>
      <c r="L292" s="75"/>
      <c r="M292" s="75"/>
      <c r="N292" s="75"/>
      <c r="O292" s="75"/>
      <c r="P292" s="75"/>
      <c r="Q292" s="75"/>
      <c r="R292" s="75"/>
      <c r="S292" s="75"/>
      <c r="T292" s="75"/>
      <c r="U292" s="75"/>
      <c r="V292" s="75"/>
      <c r="W292" s="74">
        <v>0.05</v>
      </c>
      <c r="X292" s="75" t="s">
        <v>849</v>
      </c>
      <c r="Y292" s="74">
        <v>0.05</v>
      </c>
      <c r="Z292" s="75"/>
      <c r="AA292" s="74">
        <v>0.05</v>
      </c>
      <c r="AB292" s="75" t="s">
        <v>824</v>
      </c>
      <c r="AC292" s="76">
        <v>0.05</v>
      </c>
      <c r="AD292" s="76" t="s">
        <v>824</v>
      </c>
      <c r="AE292" s="76">
        <v>0.05</v>
      </c>
      <c r="AF292" s="75" t="s">
        <v>824</v>
      </c>
      <c r="AG292" s="79">
        <v>0</v>
      </c>
      <c r="AH292" s="78">
        <v>0</v>
      </c>
      <c r="AI292" s="79">
        <v>4.65E-2</v>
      </c>
      <c r="AJ292" s="78">
        <v>5952</v>
      </c>
      <c r="AK292" s="79">
        <v>0</v>
      </c>
      <c r="AL292" s="79">
        <v>0</v>
      </c>
      <c r="AM292" s="80" t="str">
        <f t="shared" si="8"/>
        <v>26.0100,04650</v>
      </c>
      <c r="AN292" t="str">
        <f t="shared" si="9"/>
        <v>26.0100,04650</v>
      </c>
    </row>
    <row r="293" spans="2:40" ht="18" customHeight="1">
      <c r="B293" s="71">
        <v>288</v>
      </c>
      <c r="C293" s="81" t="s">
        <v>734</v>
      </c>
      <c r="D293" s="71" t="s">
        <v>1300</v>
      </c>
      <c r="E293" s="82" t="s">
        <v>1299</v>
      </c>
      <c r="F293" s="85" t="s">
        <v>1301</v>
      </c>
      <c r="G293" s="74">
        <v>0.05</v>
      </c>
      <c r="H293" s="74" t="s">
        <v>824</v>
      </c>
      <c r="I293" s="74">
        <v>0.05</v>
      </c>
      <c r="J293" s="75" t="s">
        <v>824</v>
      </c>
      <c r="K293" s="75"/>
      <c r="L293" s="75"/>
      <c r="M293" s="75"/>
      <c r="N293" s="75"/>
      <c r="O293" s="75"/>
      <c r="P293" s="75"/>
      <c r="Q293" s="75"/>
      <c r="R293" s="75"/>
      <c r="S293" s="75"/>
      <c r="T293" s="75"/>
      <c r="U293" s="75"/>
      <c r="V293" s="75"/>
      <c r="W293" s="74">
        <v>0.05</v>
      </c>
      <c r="X293" s="75" t="s">
        <v>849</v>
      </c>
      <c r="Y293" s="74">
        <v>0.05</v>
      </c>
      <c r="Z293" s="75"/>
      <c r="AA293" s="74">
        <v>0.05</v>
      </c>
      <c r="AB293" s="75" t="s">
        <v>824</v>
      </c>
      <c r="AC293" s="76">
        <v>0.05</v>
      </c>
      <c r="AD293" s="76" t="s">
        <v>824</v>
      </c>
      <c r="AE293" s="76">
        <v>0.05</v>
      </c>
      <c r="AF293" s="75" t="s">
        <v>824</v>
      </c>
      <c r="AG293" s="79">
        <v>0.01</v>
      </c>
      <c r="AH293" s="78">
        <v>1708</v>
      </c>
      <c r="AI293" s="79">
        <v>4.65E-2</v>
      </c>
      <c r="AJ293" s="78">
        <v>5952</v>
      </c>
      <c r="AK293" s="79">
        <v>0</v>
      </c>
      <c r="AL293" s="79">
        <v>0</v>
      </c>
      <c r="AM293" s="80" t="str">
        <f t="shared" si="8"/>
        <v>26.010,010,04650</v>
      </c>
      <c r="AN293" t="str">
        <f t="shared" si="9"/>
        <v>26.010,010,04650</v>
      </c>
    </row>
    <row r="294" spans="2:40" ht="18" customHeight="1">
      <c r="B294" s="71">
        <v>289</v>
      </c>
      <c r="C294" s="81" t="s">
        <v>737</v>
      </c>
      <c r="D294" s="71" t="s">
        <v>1302</v>
      </c>
      <c r="E294" s="82" t="s">
        <v>1303</v>
      </c>
      <c r="F294" s="85" t="s">
        <v>838</v>
      </c>
      <c r="G294" s="74">
        <v>0.05</v>
      </c>
      <c r="H294" s="74" t="s">
        <v>824</v>
      </c>
      <c r="I294" s="74">
        <v>0.02</v>
      </c>
      <c r="J294" s="75" t="s">
        <v>824</v>
      </c>
      <c r="K294" s="75"/>
      <c r="L294" s="75"/>
      <c r="M294" s="75"/>
      <c r="N294" s="75"/>
      <c r="O294" s="75"/>
      <c r="P294" s="75"/>
      <c r="Q294" s="75"/>
      <c r="R294" s="75"/>
      <c r="S294" s="75"/>
      <c r="T294" s="75"/>
      <c r="U294" s="75"/>
      <c r="V294" s="75"/>
      <c r="W294" s="74" t="s">
        <v>1036</v>
      </c>
      <c r="X294" s="75" t="s">
        <v>849</v>
      </c>
      <c r="Y294" s="74">
        <v>0.05</v>
      </c>
      <c r="Z294" s="75"/>
      <c r="AA294" s="74">
        <v>0.05</v>
      </c>
      <c r="AB294" s="75" t="s">
        <v>824</v>
      </c>
      <c r="AC294" s="76">
        <v>0.05</v>
      </c>
      <c r="AD294" s="76" t="s">
        <v>824</v>
      </c>
      <c r="AE294" s="76">
        <v>0.02</v>
      </c>
      <c r="AF294" s="75" t="s">
        <v>824</v>
      </c>
      <c r="AG294" s="79">
        <v>1.4999999999999999E-2</v>
      </c>
      <c r="AH294" s="78">
        <v>1708</v>
      </c>
      <c r="AI294" s="79">
        <v>4.65E-2</v>
      </c>
      <c r="AJ294" s="78">
        <v>5952</v>
      </c>
      <c r="AK294" s="79">
        <v>0</v>
      </c>
      <c r="AL294" s="79">
        <v>0</v>
      </c>
      <c r="AM294" s="80" t="str">
        <f t="shared" si="8"/>
        <v>27.010,0150,04650</v>
      </c>
      <c r="AN294" t="str">
        <f t="shared" si="9"/>
        <v>27.010,0150,04650</v>
      </c>
    </row>
    <row r="295" spans="2:40" ht="18" customHeight="1">
      <c r="B295" s="71">
        <v>290</v>
      </c>
      <c r="C295" s="81" t="s">
        <v>740</v>
      </c>
      <c r="D295" s="71" t="s">
        <v>1304</v>
      </c>
      <c r="E295" s="82" t="s">
        <v>1305</v>
      </c>
      <c r="F295" s="85" t="s">
        <v>838</v>
      </c>
      <c r="G295" s="74">
        <v>0.05</v>
      </c>
      <c r="H295" s="74" t="s">
        <v>824</v>
      </c>
      <c r="I295" s="74">
        <v>0.05</v>
      </c>
      <c r="J295" s="75" t="s">
        <v>824</v>
      </c>
      <c r="K295" s="75"/>
      <c r="L295" s="75"/>
      <c r="M295" s="75"/>
      <c r="N295" s="75"/>
      <c r="O295" s="75"/>
      <c r="P295" s="75"/>
      <c r="Q295" s="75"/>
      <c r="R295" s="75"/>
      <c r="S295" s="75"/>
      <c r="T295" s="75"/>
      <c r="U295" s="75"/>
      <c r="V295" s="75"/>
      <c r="W295" s="74">
        <v>0.05</v>
      </c>
      <c r="X295" s="75" t="s">
        <v>824</v>
      </c>
      <c r="Y295" s="74">
        <v>0.05</v>
      </c>
      <c r="Z295" s="75"/>
      <c r="AA295" s="74">
        <v>0.05</v>
      </c>
      <c r="AB295" s="75" t="s">
        <v>824</v>
      </c>
      <c r="AC295" s="76">
        <v>0.05</v>
      </c>
      <c r="AD295" s="76" t="s">
        <v>824</v>
      </c>
      <c r="AE295" s="76">
        <v>0.02</v>
      </c>
      <c r="AF295" s="75" t="s">
        <v>824</v>
      </c>
      <c r="AG295" s="79">
        <v>1.4999999999999999E-2</v>
      </c>
      <c r="AH295" s="78">
        <v>1708</v>
      </c>
      <c r="AI295" s="79">
        <v>4.65E-2</v>
      </c>
      <c r="AJ295" s="78">
        <v>5952</v>
      </c>
      <c r="AK295" s="79">
        <v>0</v>
      </c>
      <c r="AL295" s="79">
        <v>0</v>
      </c>
      <c r="AM295" s="80" t="str">
        <f t="shared" si="8"/>
        <v>28.010,0150,04650</v>
      </c>
      <c r="AN295" t="str">
        <f t="shared" si="9"/>
        <v>28.010,0150,04650</v>
      </c>
    </row>
    <row r="296" spans="2:40" ht="18" customHeight="1">
      <c r="B296" s="71">
        <v>291</v>
      </c>
      <c r="C296" s="81" t="s">
        <v>743</v>
      </c>
      <c r="D296" s="71" t="s">
        <v>1306</v>
      </c>
      <c r="E296" s="82" t="s">
        <v>1307</v>
      </c>
      <c r="F296" s="85" t="s">
        <v>838</v>
      </c>
      <c r="G296" s="74">
        <v>0.05</v>
      </c>
      <c r="H296" s="74" t="s">
        <v>824</v>
      </c>
      <c r="I296" s="74">
        <v>0.05</v>
      </c>
      <c r="J296" s="75" t="s">
        <v>824</v>
      </c>
      <c r="K296" s="75"/>
      <c r="L296" s="75"/>
      <c r="M296" s="75"/>
      <c r="N296" s="75"/>
      <c r="O296" s="75"/>
      <c r="P296" s="75"/>
      <c r="Q296" s="75"/>
      <c r="R296" s="75"/>
      <c r="S296" s="75"/>
      <c r="T296" s="75"/>
      <c r="U296" s="75"/>
      <c r="V296" s="75"/>
      <c r="W296" s="74">
        <v>0.05</v>
      </c>
      <c r="X296" s="75" t="s">
        <v>824</v>
      </c>
      <c r="Y296" s="74">
        <v>0.05</v>
      </c>
      <c r="Z296" s="75"/>
      <c r="AA296" s="74">
        <v>0.05</v>
      </c>
      <c r="AB296" s="75" t="s">
        <v>824</v>
      </c>
      <c r="AC296" s="76">
        <v>0.02</v>
      </c>
      <c r="AD296" s="76" t="s">
        <v>824</v>
      </c>
      <c r="AE296" s="76">
        <v>0.02</v>
      </c>
      <c r="AF296" s="75" t="s">
        <v>824</v>
      </c>
      <c r="AG296" s="79">
        <v>1.4999999999999999E-2</v>
      </c>
      <c r="AH296" s="78">
        <v>1708</v>
      </c>
      <c r="AI296" s="79">
        <v>4.65E-2</v>
      </c>
      <c r="AJ296" s="78">
        <v>5952</v>
      </c>
      <c r="AK296" s="79">
        <v>0</v>
      </c>
      <c r="AL296" s="79">
        <v>0</v>
      </c>
      <c r="AM296" s="80" t="str">
        <f t="shared" si="8"/>
        <v>29.010,0150,04650</v>
      </c>
      <c r="AN296" t="str">
        <f t="shared" si="9"/>
        <v>29.010,0150,04650</v>
      </c>
    </row>
    <row r="297" spans="2:40" ht="18" customHeight="1">
      <c r="B297" s="71">
        <v>292</v>
      </c>
      <c r="C297" s="81" t="s">
        <v>746</v>
      </c>
      <c r="D297" s="71" t="s">
        <v>1308</v>
      </c>
      <c r="E297" s="82" t="s">
        <v>1309</v>
      </c>
      <c r="F297" s="85" t="s">
        <v>838</v>
      </c>
      <c r="G297" s="74">
        <v>0.05</v>
      </c>
      <c r="H297" s="74" t="s">
        <v>824</v>
      </c>
      <c r="I297" s="74">
        <v>0.05</v>
      </c>
      <c r="J297" s="75" t="s">
        <v>824</v>
      </c>
      <c r="K297" s="75"/>
      <c r="L297" s="75"/>
      <c r="M297" s="75"/>
      <c r="N297" s="75"/>
      <c r="O297" s="75"/>
      <c r="P297" s="75"/>
      <c r="Q297" s="75"/>
      <c r="R297" s="75"/>
      <c r="S297" s="75"/>
      <c r="T297" s="75"/>
      <c r="U297" s="75"/>
      <c r="V297" s="75"/>
      <c r="W297" s="74">
        <v>0.05</v>
      </c>
      <c r="X297" s="75" t="s">
        <v>824</v>
      </c>
      <c r="Y297" s="74">
        <v>0.05</v>
      </c>
      <c r="Z297" s="75"/>
      <c r="AA297" s="74">
        <v>0.05</v>
      </c>
      <c r="AB297" s="75" t="s">
        <v>824</v>
      </c>
      <c r="AC297" s="76">
        <v>0.05</v>
      </c>
      <c r="AD297" s="76" t="s">
        <v>824</v>
      </c>
      <c r="AE297" s="76">
        <v>0.02</v>
      </c>
      <c r="AF297" s="75" t="s">
        <v>824</v>
      </c>
      <c r="AG297" s="79">
        <v>1.4999999999999999E-2</v>
      </c>
      <c r="AH297" s="78">
        <v>1708</v>
      </c>
      <c r="AI297" s="79">
        <v>4.65E-2</v>
      </c>
      <c r="AJ297" s="78">
        <v>5952</v>
      </c>
      <c r="AK297" s="79">
        <v>0</v>
      </c>
      <c r="AL297" s="79">
        <v>0</v>
      </c>
      <c r="AM297" s="80" t="str">
        <f t="shared" si="8"/>
        <v>30.010,0150,04650</v>
      </c>
      <c r="AN297" t="str">
        <f t="shared" si="9"/>
        <v>30.010,0150,04650</v>
      </c>
    </row>
    <row r="298" spans="2:40" ht="18" customHeight="1">
      <c r="B298" s="71">
        <v>293</v>
      </c>
      <c r="C298" s="81" t="s">
        <v>749</v>
      </c>
      <c r="D298" s="71" t="s">
        <v>1310</v>
      </c>
      <c r="E298" s="82" t="s">
        <v>1311</v>
      </c>
      <c r="F298" s="85" t="s">
        <v>838</v>
      </c>
      <c r="G298" s="74">
        <v>0.05</v>
      </c>
      <c r="H298" s="74" t="s">
        <v>824</v>
      </c>
      <c r="I298" s="74">
        <v>0.05</v>
      </c>
      <c r="J298" s="75" t="s">
        <v>824</v>
      </c>
      <c r="K298" s="75"/>
      <c r="L298" s="75"/>
      <c r="M298" s="75"/>
      <c r="N298" s="75"/>
      <c r="O298" s="75"/>
      <c r="P298" s="75"/>
      <c r="Q298" s="75"/>
      <c r="R298" s="75"/>
      <c r="S298" s="75"/>
      <c r="T298" s="75"/>
      <c r="U298" s="75"/>
      <c r="V298" s="75"/>
      <c r="W298" s="74">
        <v>0.05</v>
      </c>
      <c r="X298" s="75" t="s">
        <v>849</v>
      </c>
      <c r="Y298" s="74">
        <v>0.05</v>
      </c>
      <c r="Z298" s="75"/>
      <c r="AA298" s="74">
        <v>0.05</v>
      </c>
      <c r="AB298" s="75" t="s">
        <v>824</v>
      </c>
      <c r="AC298" s="76">
        <v>0.05</v>
      </c>
      <c r="AD298" s="76" t="s">
        <v>824</v>
      </c>
      <c r="AE298" s="76">
        <v>0.02</v>
      </c>
      <c r="AF298" s="75" t="s">
        <v>824</v>
      </c>
      <c r="AG298" s="79">
        <v>1.4999999999999999E-2</v>
      </c>
      <c r="AH298" s="78">
        <v>1708</v>
      </c>
      <c r="AI298" s="79">
        <v>4.65E-2</v>
      </c>
      <c r="AJ298" s="78">
        <v>5952</v>
      </c>
      <c r="AK298" s="79">
        <v>0</v>
      </c>
      <c r="AL298" s="79">
        <v>0</v>
      </c>
      <c r="AM298" s="80" t="str">
        <f t="shared" si="8"/>
        <v>31.010,0150,04650</v>
      </c>
      <c r="AN298" t="str">
        <f t="shared" si="9"/>
        <v>31.010,0150,04650</v>
      </c>
    </row>
    <row r="299" spans="2:40" ht="18" customHeight="1">
      <c r="B299" s="71">
        <v>294</v>
      </c>
      <c r="C299" s="81" t="s">
        <v>752</v>
      </c>
      <c r="D299" s="71" t="s">
        <v>1312</v>
      </c>
      <c r="E299" s="82" t="s">
        <v>1313</v>
      </c>
      <c r="F299" s="85" t="s">
        <v>838</v>
      </c>
      <c r="G299" s="74">
        <v>0.05</v>
      </c>
      <c r="H299" s="74" t="s">
        <v>824</v>
      </c>
      <c r="I299" s="74">
        <v>0.05</v>
      </c>
      <c r="J299" s="75" t="s">
        <v>824</v>
      </c>
      <c r="K299" s="75"/>
      <c r="L299" s="75"/>
      <c r="M299" s="75"/>
      <c r="N299" s="75"/>
      <c r="O299" s="75"/>
      <c r="P299" s="75"/>
      <c r="Q299" s="75"/>
      <c r="R299" s="75"/>
      <c r="S299" s="75"/>
      <c r="T299" s="75"/>
      <c r="U299" s="75"/>
      <c r="V299" s="75"/>
      <c r="W299" s="74">
        <v>0.05</v>
      </c>
      <c r="X299" s="75" t="s">
        <v>824</v>
      </c>
      <c r="Y299" s="74">
        <v>0.05</v>
      </c>
      <c r="Z299" s="75"/>
      <c r="AA299" s="74">
        <v>0.05</v>
      </c>
      <c r="AB299" s="75" t="s">
        <v>824</v>
      </c>
      <c r="AC299" s="76">
        <v>0.05</v>
      </c>
      <c r="AD299" s="76" t="s">
        <v>824</v>
      </c>
      <c r="AE299" s="76">
        <v>0.02</v>
      </c>
      <c r="AF299" s="75" t="s">
        <v>824</v>
      </c>
      <c r="AG299" s="79">
        <v>1.4999999999999999E-2</v>
      </c>
      <c r="AH299" s="78">
        <v>1708</v>
      </c>
      <c r="AI299" s="79">
        <v>4.65E-2</v>
      </c>
      <c r="AJ299" s="78">
        <v>5952</v>
      </c>
      <c r="AK299" s="79">
        <v>0</v>
      </c>
      <c r="AL299" s="79">
        <v>0</v>
      </c>
      <c r="AM299" s="80" t="str">
        <f t="shared" si="8"/>
        <v>32.010,0150,04650</v>
      </c>
      <c r="AN299" t="str">
        <f t="shared" si="9"/>
        <v>32.010,0150,04650</v>
      </c>
    </row>
    <row r="300" spans="2:40" ht="18" customHeight="1">
      <c r="B300" s="71">
        <v>295</v>
      </c>
      <c r="C300" s="81" t="s">
        <v>752</v>
      </c>
      <c r="D300" s="71" t="s">
        <v>1314</v>
      </c>
      <c r="E300" s="82" t="s">
        <v>1313</v>
      </c>
      <c r="F300" s="85" t="s">
        <v>840</v>
      </c>
      <c r="G300" s="74">
        <v>0.05</v>
      </c>
      <c r="H300" s="74" t="s">
        <v>824</v>
      </c>
      <c r="I300" s="74">
        <v>0.05</v>
      </c>
      <c r="J300" s="75" t="s">
        <v>824</v>
      </c>
      <c r="K300" s="75"/>
      <c r="L300" s="75"/>
      <c r="M300" s="75"/>
      <c r="N300" s="75"/>
      <c r="O300" s="75"/>
      <c r="P300" s="75"/>
      <c r="Q300" s="75"/>
      <c r="R300" s="75"/>
      <c r="S300" s="75"/>
      <c r="T300" s="75"/>
      <c r="U300" s="75"/>
      <c r="V300" s="75"/>
      <c r="W300" s="74">
        <v>0.05</v>
      </c>
      <c r="X300" s="75" t="s">
        <v>824</v>
      </c>
      <c r="Y300" s="74">
        <v>0.05</v>
      </c>
      <c r="Z300" s="75"/>
      <c r="AA300" s="74">
        <v>0.05</v>
      </c>
      <c r="AB300" s="75" t="s">
        <v>824</v>
      </c>
      <c r="AC300" s="76">
        <v>0.05</v>
      </c>
      <c r="AD300" s="76" t="s">
        <v>824</v>
      </c>
      <c r="AE300" s="76">
        <v>0.02</v>
      </c>
      <c r="AF300" s="75" t="s">
        <v>824</v>
      </c>
      <c r="AG300" s="79">
        <v>1.4999999999999999E-2</v>
      </c>
      <c r="AH300" s="78">
        <v>1708</v>
      </c>
      <c r="AI300" s="79">
        <v>4.65E-2</v>
      </c>
      <c r="AJ300" s="78">
        <v>5952</v>
      </c>
      <c r="AK300" s="79">
        <v>0.11</v>
      </c>
      <c r="AL300" s="79">
        <v>3.5000000000000003E-2</v>
      </c>
      <c r="AM300" s="80" t="str">
        <f t="shared" si="8"/>
        <v>32.010,0150,04650,11</v>
      </c>
      <c r="AN300" t="str">
        <f t="shared" si="9"/>
        <v>32.010,0150,04650,035</v>
      </c>
    </row>
    <row r="301" spans="2:40" ht="18" customHeight="1">
      <c r="B301" s="71">
        <v>296</v>
      </c>
      <c r="C301" s="81" t="s">
        <v>755</v>
      </c>
      <c r="D301" s="71" t="s">
        <v>1315</v>
      </c>
      <c r="E301" s="82" t="s">
        <v>1316</v>
      </c>
      <c r="F301" s="85" t="s">
        <v>838</v>
      </c>
      <c r="G301" s="74">
        <v>0.05</v>
      </c>
      <c r="H301" s="74" t="s">
        <v>824</v>
      </c>
      <c r="I301" s="74">
        <v>0.05</v>
      </c>
      <c r="J301" s="75" t="s">
        <v>824</v>
      </c>
      <c r="K301" s="75"/>
      <c r="L301" s="75"/>
      <c r="M301" s="75"/>
      <c r="N301" s="75"/>
      <c r="O301" s="75"/>
      <c r="P301" s="75"/>
      <c r="Q301" s="75"/>
      <c r="R301" s="75"/>
      <c r="S301" s="75"/>
      <c r="T301" s="75"/>
      <c r="U301" s="75"/>
      <c r="V301" s="75"/>
      <c r="W301" s="74">
        <v>0.05</v>
      </c>
      <c r="X301" s="75" t="s">
        <v>849</v>
      </c>
      <c r="Y301" s="74">
        <v>0.05</v>
      </c>
      <c r="Z301" s="75"/>
      <c r="AA301" s="74">
        <v>0.05</v>
      </c>
      <c r="AB301" s="75" t="s">
        <v>824</v>
      </c>
      <c r="AC301" s="76">
        <v>0.05</v>
      </c>
      <c r="AD301" s="76" t="s">
        <v>824</v>
      </c>
      <c r="AE301" s="76">
        <v>0.02</v>
      </c>
      <c r="AF301" s="75" t="s">
        <v>824</v>
      </c>
      <c r="AG301" s="79">
        <v>1.4999999999999999E-2</v>
      </c>
      <c r="AH301" s="78">
        <v>1708</v>
      </c>
      <c r="AI301" s="79">
        <v>4.65E-2</v>
      </c>
      <c r="AJ301" s="78">
        <v>5952</v>
      </c>
      <c r="AK301" s="79">
        <v>0</v>
      </c>
      <c r="AL301" s="79">
        <v>0</v>
      </c>
      <c r="AM301" s="80" t="str">
        <f t="shared" si="8"/>
        <v>33.010,0150,04650</v>
      </c>
      <c r="AN301" t="str">
        <f t="shared" si="9"/>
        <v>33.010,0150,04650</v>
      </c>
    </row>
    <row r="302" spans="2:40" ht="18" customHeight="1">
      <c r="B302" s="71">
        <v>297</v>
      </c>
      <c r="C302" s="81" t="s">
        <v>758</v>
      </c>
      <c r="D302" s="71" t="s">
        <v>1317</v>
      </c>
      <c r="E302" s="82" t="s">
        <v>1318</v>
      </c>
      <c r="F302" s="85" t="s">
        <v>838</v>
      </c>
      <c r="G302" s="74">
        <v>0.05</v>
      </c>
      <c r="H302" s="74" t="s">
        <v>824</v>
      </c>
      <c r="I302" s="74">
        <v>0.05</v>
      </c>
      <c r="J302" s="75" t="s">
        <v>824</v>
      </c>
      <c r="K302" s="75"/>
      <c r="L302" s="75"/>
      <c r="M302" s="75"/>
      <c r="N302" s="75"/>
      <c r="O302" s="75"/>
      <c r="P302" s="75"/>
      <c r="Q302" s="75"/>
      <c r="R302" s="75"/>
      <c r="S302" s="75"/>
      <c r="T302" s="75"/>
      <c r="U302" s="75"/>
      <c r="V302" s="75"/>
      <c r="W302" s="74">
        <v>0.05</v>
      </c>
      <c r="X302" s="75" t="s">
        <v>824</v>
      </c>
      <c r="Y302" s="74">
        <v>0.05</v>
      </c>
      <c r="Z302" s="75"/>
      <c r="AA302" s="74">
        <v>0.05</v>
      </c>
      <c r="AB302" s="75" t="s">
        <v>824</v>
      </c>
      <c r="AC302" s="76">
        <v>0.05</v>
      </c>
      <c r="AD302" s="76" t="s">
        <v>824</v>
      </c>
      <c r="AE302" s="76">
        <v>0.05</v>
      </c>
      <c r="AF302" s="75" t="s">
        <v>824</v>
      </c>
      <c r="AG302" s="79">
        <v>1.4999999999999999E-2</v>
      </c>
      <c r="AH302" s="78">
        <v>1708</v>
      </c>
      <c r="AI302" s="79">
        <v>4.65E-2</v>
      </c>
      <c r="AJ302" s="78">
        <v>5952</v>
      </c>
      <c r="AK302" s="79">
        <v>0</v>
      </c>
      <c r="AL302" s="79">
        <v>0</v>
      </c>
      <c r="AM302" s="80" t="str">
        <f t="shared" si="8"/>
        <v>34.010,0150,04650</v>
      </c>
      <c r="AN302" t="str">
        <f t="shared" si="9"/>
        <v>34.010,0150,04650</v>
      </c>
    </row>
    <row r="303" spans="2:40" ht="18" customHeight="1">
      <c r="B303" s="71">
        <v>298</v>
      </c>
      <c r="C303" s="81" t="s">
        <v>761</v>
      </c>
      <c r="D303" s="71" t="s">
        <v>1319</v>
      </c>
      <c r="E303" s="82" t="s">
        <v>1320</v>
      </c>
      <c r="F303" s="85" t="s">
        <v>838</v>
      </c>
      <c r="G303" s="74">
        <v>0.05</v>
      </c>
      <c r="H303" s="74" t="s">
        <v>824</v>
      </c>
      <c r="I303" s="74">
        <v>0.05</v>
      </c>
      <c r="J303" s="75" t="s">
        <v>824</v>
      </c>
      <c r="K303" s="79"/>
      <c r="L303" s="79"/>
      <c r="M303" s="78"/>
      <c r="N303" s="78"/>
      <c r="O303" s="75"/>
      <c r="P303" s="75"/>
      <c r="Q303" s="75"/>
      <c r="R303" s="75"/>
      <c r="S303" s="75"/>
      <c r="T303" s="75"/>
      <c r="U303" s="75"/>
      <c r="V303" s="75"/>
      <c r="W303" s="74">
        <v>0.05</v>
      </c>
      <c r="X303" s="75" t="s">
        <v>824</v>
      </c>
      <c r="Y303" s="74">
        <v>0.05</v>
      </c>
      <c r="Z303" s="75"/>
      <c r="AA303" s="74">
        <v>0.05</v>
      </c>
      <c r="AB303" s="75" t="s">
        <v>824</v>
      </c>
      <c r="AC303" s="76">
        <v>0.05</v>
      </c>
      <c r="AD303" s="76" t="s">
        <v>824</v>
      </c>
      <c r="AE303" s="76">
        <v>0.02</v>
      </c>
      <c r="AF303" s="75" t="s">
        <v>824</v>
      </c>
      <c r="AG303" s="79">
        <v>1.4999999999999999E-2</v>
      </c>
      <c r="AH303" s="78">
        <v>1708</v>
      </c>
      <c r="AI303" s="79">
        <v>4.65E-2</v>
      </c>
      <c r="AJ303" s="78">
        <v>5952</v>
      </c>
      <c r="AK303" s="79">
        <v>0</v>
      </c>
      <c r="AL303" s="79">
        <v>0</v>
      </c>
      <c r="AM303" s="80" t="str">
        <f t="shared" si="8"/>
        <v>35.010,0150,04650</v>
      </c>
      <c r="AN303" t="str">
        <f t="shared" si="9"/>
        <v>35.010,0150,04650</v>
      </c>
    </row>
    <row r="304" spans="2:40" ht="18" customHeight="1">
      <c r="B304" s="71">
        <v>299</v>
      </c>
      <c r="C304" s="81" t="s">
        <v>761</v>
      </c>
      <c r="D304" s="71" t="s">
        <v>1321</v>
      </c>
      <c r="E304" s="82" t="s">
        <v>1320</v>
      </c>
      <c r="F304" s="85" t="s">
        <v>840</v>
      </c>
      <c r="G304" s="74">
        <v>0.05</v>
      </c>
      <c r="H304" s="74" t="s">
        <v>824</v>
      </c>
      <c r="I304" s="74">
        <v>0.05</v>
      </c>
      <c r="J304" s="75" t="s">
        <v>824</v>
      </c>
      <c r="K304" s="75"/>
      <c r="L304" s="75"/>
      <c r="M304" s="75"/>
      <c r="N304" s="75"/>
      <c r="O304" s="75"/>
      <c r="P304" s="75"/>
      <c r="Q304" s="75"/>
      <c r="R304" s="75"/>
      <c r="S304" s="75"/>
      <c r="T304" s="75"/>
      <c r="U304" s="75"/>
      <c r="V304" s="75"/>
      <c r="W304" s="74">
        <v>0.05</v>
      </c>
      <c r="X304" s="75" t="s">
        <v>824</v>
      </c>
      <c r="Y304" s="74">
        <v>0.05</v>
      </c>
      <c r="Z304" s="75"/>
      <c r="AA304" s="74">
        <v>0.05</v>
      </c>
      <c r="AB304" s="75" t="s">
        <v>824</v>
      </c>
      <c r="AC304" s="76">
        <v>0.05</v>
      </c>
      <c r="AD304" s="76" t="s">
        <v>824</v>
      </c>
      <c r="AE304" s="76">
        <v>0.02</v>
      </c>
      <c r="AF304" s="75" t="s">
        <v>824</v>
      </c>
      <c r="AG304" s="79">
        <v>1.4999999999999999E-2</v>
      </c>
      <c r="AH304" s="78">
        <v>1708</v>
      </c>
      <c r="AI304" s="79">
        <v>4.65E-2</v>
      </c>
      <c r="AJ304" s="78">
        <v>5952</v>
      </c>
      <c r="AK304" s="79">
        <v>0.11</v>
      </c>
      <c r="AL304" s="79">
        <v>3.5000000000000003E-2</v>
      </c>
      <c r="AM304" s="80" t="str">
        <f t="shared" si="8"/>
        <v>35.010,0150,04650,11</v>
      </c>
      <c r="AN304" t="str">
        <f t="shared" si="9"/>
        <v>35.010,0150,04650,035</v>
      </c>
    </row>
    <row r="305" spans="2:40" ht="18" customHeight="1">
      <c r="B305" s="71">
        <v>300</v>
      </c>
      <c r="C305" s="81" t="s">
        <v>764</v>
      </c>
      <c r="D305" s="71" t="s">
        <v>1322</v>
      </c>
      <c r="E305" s="82" t="s">
        <v>1323</v>
      </c>
      <c r="F305" s="85" t="s">
        <v>838</v>
      </c>
      <c r="G305" s="74">
        <v>0.05</v>
      </c>
      <c r="H305" s="74" t="s">
        <v>824</v>
      </c>
      <c r="I305" s="74">
        <v>0.05</v>
      </c>
      <c r="J305" s="75" t="s">
        <v>824</v>
      </c>
      <c r="K305" s="75"/>
      <c r="L305" s="75"/>
      <c r="M305" s="75"/>
      <c r="N305" s="75"/>
      <c r="O305" s="75"/>
      <c r="P305" s="75"/>
      <c r="Q305" s="75"/>
      <c r="R305" s="75"/>
      <c r="S305" s="75"/>
      <c r="T305" s="75"/>
      <c r="U305" s="75"/>
      <c r="V305" s="75"/>
      <c r="W305" s="74">
        <v>0.05</v>
      </c>
      <c r="X305" s="75" t="s">
        <v>824</v>
      </c>
      <c r="Y305" s="74">
        <v>0.05</v>
      </c>
      <c r="Z305" s="75"/>
      <c r="AA305" s="74">
        <v>0.05</v>
      </c>
      <c r="AB305" s="75" t="s">
        <v>824</v>
      </c>
      <c r="AC305" s="76">
        <v>0.05</v>
      </c>
      <c r="AD305" s="76" t="s">
        <v>824</v>
      </c>
      <c r="AE305" s="76">
        <v>0.02</v>
      </c>
      <c r="AF305" s="75" t="s">
        <v>824</v>
      </c>
      <c r="AG305" s="79">
        <v>1.4999999999999999E-2</v>
      </c>
      <c r="AH305" s="78">
        <v>1708</v>
      </c>
      <c r="AI305" s="79">
        <v>4.65E-2</v>
      </c>
      <c r="AJ305" s="78">
        <v>5952</v>
      </c>
      <c r="AK305" s="79">
        <v>0</v>
      </c>
      <c r="AL305" s="79">
        <v>0</v>
      </c>
      <c r="AM305" s="80" t="str">
        <f t="shared" si="8"/>
        <v>36.010,0150,04650</v>
      </c>
      <c r="AN305" t="str">
        <f t="shared" si="9"/>
        <v>36.010,0150,04650</v>
      </c>
    </row>
    <row r="306" spans="2:40" ht="18" customHeight="1">
      <c r="B306" s="71">
        <v>301</v>
      </c>
      <c r="C306" s="81" t="s">
        <v>767</v>
      </c>
      <c r="D306" s="71" t="s">
        <v>1324</v>
      </c>
      <c r="E306" s="82" t="s">
        <v>1325</v>
      </c>
      <c r="F306" s="85" t="s">
        <v>838</v>
      </c>
      <c r="G306" s="74">
        <v>0.05</v>
      </c>
      <c r="H306" s="74" t="s">
        <v>824</v>
      </c>
      <c r="I306" s="74">
        <v>0.05</v>
      </c>
      <c r="J306" s="75" t="s">
        <v>824</v>
      </c>
      <c r="K306" s="75"/>
      <c r="L306" s="75"/>
      <c r="M306" s="75"/>
      <c r="N306" s="75"/>
      <c r="O306" s="75"/>
      <c r="P306" s="75"/>
      <c r="Q306" s="75"/>
      <c r="R306" s="75"/>
      <c r="S306" s="75"/>
      <c r="T306" s="75"/>
      <c r="U306" s="75"/>
      <c r="V306" s="75"/>
      <c r="W306" s="74">
        <v>0.05</v>
      </c>
      <c r="X306" s="75" t="s">
        <v>824</v>
      </c>
      <c r="Y306" s="74">
        <v>0.05</v>
      </c>
      <c r="Z306" s="75"/>
      <c r="AA306" s="74">
        <v>0</v>
      </c>
      <c r="AB306" s="75" t="s">
        <v>824</v>
      </c>
      <c r="AC306" s="76">
        <v>0.05</v>
      </c>
      <c r="AD306" s="76" t="s">
        <v>824</v>
      </c>
      <c r="AE306" s="76">
        <v>0.02</v>
      </c>
      <c r="AF306" s="75" t="s">
        <v>824</v>
      </c>
      <c r="AG306" s="79">
        <v>0</v>
      </c>
      <c r="AH306" s="78">
        <v>0</v>
      </c>
      <c r="AI306" s="79">
        <v>0</v>
      </c>
      <c r="AJ306" s="78">
        <v>0</v>
      </c>
      <c r="AK306" s="79">
        <v>0</v>
      </c>
      <c r="AL306" s="79">
        <v>0</v>
      </c>
      <c r="AM306" s="80" t="str">
        <f t="shared" si="8"/>
        <v>37.01000</v>
      </c>
      <c r="AN306" t="str">
        <f t="shared" si="9"/>
        <v>37.01000</v>
      </c>
    </row>
    <row r="307" spans="2:40" ht="18" customHeight="1">
      <c r="B307" s="71">
        <v>302</v>
      </c>
      <c r="C307" s="81" t="s">
        <v>770</v>
      </c>
      <c r="D307" s="71" t="s">
        <v>1326</v>
      </c>
      <c r="E307" s="82" t="s">
        <v>1327</v>
      </c>
      <c r="F307" s="85" t="s">
        <v>838</v>
      </c>
      <c r="G307" s="74">
        <v>0.05</v>
      </c>
      <c r="H307" s="74" t="s">
        <v>824</v>
      </c>
      <c r="I307" s="74">
        <v>0.05</v>
      </c>
      <c r="J307" s="75" t="s">
        <v>824</v>
      </c>
      <c r="K307" s="75"/>
      <c r="L307" s="75"/>
      <c r="M307" s="75"/>
      <c r="N307" s="75"/>
      <c r="O307" s="75"/>
      <c r="P307" s="75"/>
      <c r="Q307" s="75"/>
      <c r="R307" s="75"/>
      <c r="S307" s="75"/>
      <c r="T307" s="75"/>
      <c r="U307" s="75"/>
      <c r="V307" s="75"/>
      <c r="W307" s="74">
        <v>0.05</v>
      </c>
      <c r="X307" s="75" t="s">
        <v>824</v>
      </c>
      <c r="Y307" s="74">
        <v>0.05</v>
      </c>
      <c r="Z307" s="75"/>
      <c r="AA307" s="74">
        <v>0.05</v>
      </c>
      <c r="AB307" s="75" t="s">
        <v>824</v>
      </c>
      <c r="AC307" s="76">
        <v>0.02</v>
      </c>
      <c r="AD307" s="76" t="s">
        <v>824</v>
      </c>
      <c r="AE307" s="76">
        <v>0.02</v>
      </c>
      <c r="AF307" s="75" t="s">
        <v>824</v>
      </c>
      <c r="AG307" s="79">
        <v>0</v>
      </c>
      <c r="AH307" s="78">
        <v>0</v>
      </c>
      <c r="AI307" s="79">
        <v>0</v>
      </c>
      <c r="AJ307" s="78">
        <v>0</v>
      </c>
      <c r="AK307" s="79">
        <v>0</v>
      </c>
      <c r="AL307" s="79">
        <v>0</v>
      </c>
      <c r="AM307" s="80" t="str">
        <f t="shared" si="8"/>
        <v>38.01000</v>
      </c>
      <c r="AN307" t="str">
        <f t="shared" si="9"/>
        <v>38.01000</v>
      </c>
    </row>
    <row r="308" spans="2:40" ht="18" customHeight="1">
      <c r="B308" s="71">
        <v>303</v>
      </c>
      <c r="C308" s="81" t="s">
        <v>773</v>
      </c>
      <c r="D308" s="71" t="s">
        <v>1328</v>
      </c>
      <c r="E308" s="82" t="s">
        <v>1329</v>
      </c>
      <c r="F308" s="85" t="s">
        <v>838</v>
      </c>
      <c r="G308" s="74">
        <v>0.05</v>
      </c>
      <c r="H308" s="74" t="s">
        <v>824</v>
      </c>
      <c r="I308" s="74">
        <v>0.05</v>
      </c>
      <c r="J308" s="75" t="s">
        <v>824</v>
      </c>
      <c r="K308" s="75"/>
      <c r="L308" s="75"/>
      <c r="M308" s="75"/>
      <c r="N308" s="75"/>
      <c r="O308" s="75"/>
      <c r="P308" s="75"/>
      <c r="Q308" s="75"/>
      <c r="R308" s="75"/>
      <c r="S308" s="75"/>
      <c r="T308" s="75"/>
      <c r="U308" s="75"/>
      <c r="V308" s="75"/>
      <c r="W308" s="74">
        <v>0.05</v>
      </c>
      <c r="X308" s="75" t="s">
        <v>824</v>
      </c>
      <c r="Y308" s="74">
        <v>0.05</v>
      </c>
      <c r="Z308" s="75"/>
      <c r="AA308" s="74">
        <v>0.05</v>
      </c>
      <c r="AB308" s="75" t="s">
        <v>824</v>
      </c>
      <c r="AC308" s="76">
        <v>0.05</v>
      </c>
      <c r="AD308" s="76" t="s">
        <v>824</v>
      </c>
      <c r="AE308" s="76">
        <v>0.02</v>
      </c>
      <c r="AF308" s="75" t="s">
        <v>824</v>
      </c>
      <c r="AG308" s="79">
        <v>0</v>
      </c>
      <c r="AH308" s="78">
        <v>0</v>
      </c>
      <c r="AI308" s="79">
        <v>0</v>
      </c>
      <c r="AJ308" s="78">
        <v>0</v>
      </c>
      <c r="AK308" s="79">
        <v>0</v>
      </c>
      <c r="AL308" s="79">
        <v>0</v>
      </c>
      <c r="AM308" s="80" t="str">
        <f t="shared" si="8"/>
        <v>39.01000</v>
      </c>
      <c r="AN308" t="str">
        <f t="shared" si="9"/>
        <v>39.01000</v>
      </c>
    </row>
    <row r="309" spans="2:40" ht="18" customHeight="1">
      <c r="B309" s="71">
        <v>304</v>
      </c>
      <c r="C309" s="81" t="s">
        <v>776</v>
      </c>
      <c r="D309" s="71" t="s">
        <v>1330</v>
      </c>
      <c r="E309" s="82" t="s">
        <v>777</v>
      </c>
      <c r="F309" s="85" t="s">
        <v>838</v>
      </c>
      <c r="G309" s="74">
        <v>0.05</v>
      </c>
      <c r="H309" s="74" t="s">
        <v>824</v>
      </c>
      <c r="I309" s="74">
        <v>0.05</v>
      </c>
      <c r="J309" s="75" t="s">
        <v>824</v>
      </c>
      <c r="K309" s="75"/>
      <c r="L309" s="75"/>
      <c r="M309" s="75"/>
      <c r="N309" s="75"/>
      <c r="O309" s="75"/>
      <c r="P309" s="75"/>
      <c r="Q309" s="75"/>
      <c r="R309" s="75"/>
      <c r="S309" s="75"/>
      <c r="T309" s="75"/>
      <c r="U309" s="75"/>
      <c r="V309" s="75"/>
      <c r="W309" s="74">
        <v>0.05</v>
      </c>
      <c r="X309" s="75" t="s">
        <v>824</v>
      </c>
      <c r="Y309" s="74">
        <v>0.05</v>
      </c>
      <c r="Z309" s="75"/>
      <c r="AA309" s="74">
        <v>0.05</v>
      </c>
      <c r="AB309" s="75" t="s">
        <v>824</v>
      </c>
      <c r="AC309" s="76">
        <v>0.05</v>
      </c>
      <c r="AD309" s="76" t="s">
        <v>824</v>
      </c>
      <c r="AE309" s="76">
        <v>0.03</v>
      </c>
      <c r="AF309" s="75" t="s">
        <v>824</v>
      </c>
      <c r="AG309" s="79">
        <v>0</v>
      </c>
      <c r="AH309" s="78">
        <v>0</v>
      </c>
      <c r="AI309" s="79">
        <v>0</v>
      </c>
      <c r="AJ309" s="78">
        <v>0</v>
      </c>
      <c r="AK309" s="79">
        <v>0</v>
      </c>
      <c r="AL309" s="79">
        <v>0</v>
      </c>
      <c r="AM309" s="80" t="str">
        <f t="shared" si="8"/>
        <v>40.01000</v>
      </c>
      <c r="AN309" t="str">
        <f t="shared" si="9"/>
        <v>40.01000</v>
      </c>
    </row>
    <row r="310" spans="2:40" ht="18" customHeight="1">
      <c r="B310" s="71">
        <v>305</v>
      </c>
      <c r="C310" s="81" t="s">
        <v>393</v>
      </c>
      <c r="D310" s="71" t="s">
        <v>1331</v>
      </c>
      <c r="E310" s="82" t="s">
        <v>1031</v>
      </c>
      <c r="F310" s="85" t="s">
        <v>838</v>
      </c>
      <c r="G310" s="95">
        <v>0.05</v>
      </c>
      <c r="H310" s="95" t="s">
        <v>824</v>
      </c>
      <c r="I310" s="95">
        <v>0.05</v>
      </c>
      <c r="J310" s="75" t="s">
        <v>824</v>
      </c>
      <c r="K310" s="75"/>
      <c r="L310" s="75"/>
      <c r="M310" s="75"/>
      <c r="N310" s="75"/>
      <c r="O310" s="75"/>
      <c r="P310" s="75"/>
      <c r="Q310" s="75"/>
      <c r="R310" s="75"/>
      <c r="S310" s="75"/>
      <c r="T310" s="75"/>
      <c r="U310" s="75"/>
      <c r="V310" s="75"/>
      <c r="W310" s="95">
        <v>0.05</v>
      </c>
      <c r="X310" s="75" t="s">
        <v>824</v>
      </c>
      <c r="Y310" s="95">
        <v>0.05</v>
      </c>
      <c r="Z310" s="75"/>
      <c r="AA310" s="95">
        <v>0.05</v>
      </c>
      <c r="AB310" s="75" t="s">
        <v>824</v>
      </c>
      <c r="AC310" s="76">
        <v>0.05</v>
      </c>
      <c r="AD310" s="76" t="s">
        <v>824</v>
      </c>
      <c r="AE310" s="76">
        <v>0.03</v>
      </c>
      <c r="AF310" s="75" t="s">
        <v>824</v>
      </c>
      <c r="AG310" s="97">
        <v>1.4999999999999999E-2</v>
      </c>
      <c r="AH310" s="96">
        <v>8045</v>
      </c>
      <c r="AI310" s="97">
        <v>4.65E-2</v>
      </c>
      <c r="AJ310" s="96">
        <v>5952</v>
      </c>
      <c r="AK310" s="97">
        <v>0</v>
      </c>
      <c r="AL310" s="97">
        <v>0</v>
      </c>
      <c r="AM310" s="80" t="str">
        <f t="shared" si="8"/>
        <v>10.030,0150,04650</v>
      </c>
      <c r="AN310" t="str">
        <f t="shared" si="9"/>
        <v>10.030,0150,04650</v>
      </c>
    </row>
    <row r="311" spans="2:40" ht="18" customHeight="1">
      <c r="B311" s="71">
        <v>306</v>
      </c>
      <c r="C311" s="81" t="s">
        <v>497</v>
      </c>
      <c r="D311" s="71" t="s">
        <v>1332</v>
      </c>
      <c r="E311" s="82" t="s">
        <v>1126</v>
      </c>
      <c r="F311" s="85" t="s">
        <v>1333</v>
      </c>
      <c r="G311" s="95">
        <v>0.05</v>
      </c>
      <c r="H311" s="95" t="s">
        <v>824</v>
      </c>
      <c r="I311" s="95">
        <v>0.05</v>
      </c>
      <c r="J311" s="75" t="s">
        <v>824</v>
      </c>
      <c r="K311" s="75"/>
      <c r="L311" s="75"/>
      <c r="M311" s="75"/>
      <c r="N311" s="75"/>
      <c r="O311" s="75"/>
      <c r="P311" s="75"/>
      <c r="Q311" s="75"/>
      <c r="R311" s="75"/>
      <c r="S311" s="75"/>
      <c r="T311" s="75"/>
      <c r="U311" s="75"/>
      <c r="V311" s="75"/>
      <c r="W311" s="95">
        <v>0.05</v>
      </c>
      <c r="X311" s="75" t="s">
        <v>824</v>
      </c>
      <c r="Y311" s="95">
        <v>0.05</v>
      </c>
      <c r="Z311" s="75"/>
      <c r="AA311" s="95">
        <v>0.05</v>
      </c>
      <c r="AB311" s="75" t="s">
        <v>824</v>
      </c>
      <c r="AC311" s="76">
        <v>0.05</v>
      </c>
      <c r="AD311" s="76" t="s">
        <v>824</v>
      </c>
      <c r="AE311" s="76">
        <v>0.03</v>
      </c>
      <c r="AF311" s="75" t="s">
        <v>824</v>
      </c>
      <c r="AG311" s="97">
        <v>1.4999999999999999E-2</v>
      </c>
      <c r="AH311" s="96">
        <v>1708</v>
      </c>
      <c r="AI311" s="97">
        <v>4.65E-2</v>
      </c>
      <c r="AJ311" s="96">
        <v>5952</v>
      </c>
      <c r="AK311" s="97">
        <v>0</v>
      </c>
      <c r="AL311" s="97">
        <v>0</v>
      </c>
      <c r="AM311" s="80" t="str">
        <f t="shared" si="8"/>
        <v>14.020,0150,04650</v>
      </c>
      <c r="AN311" t="str">
        <f t="shared" si="9"/>
        <v>14.020,0150,04650</v>
      </c>
    </row>
    <row r="312" spans="2:40" ht="18" customHeight="1">
      <c r="B312" s="71">
        <v>307</v>
      </c>
      <c r="C312" s="81" t="s">
        <v>626</v>
      </c>
      <c r="D312" s="81" t="s">
        <v>1334</v>
      </c>
      <c r="E312" s="82" t="s">
        <v>1224</v>
      </c>
      <c r="F312" s="85" t="s">
        <v>1335</v>
      </c>
      <c r="AG312" s="111">
        <v>1.4999999999999999E-2</v>
      </c>
      <c r="AH312" s="99">
        <v>1708</v>
      </c>
      <c r="AI312" s="109">
        <v>0</v>
      </c>
      <c r="AJ312" s="99">
        <v>0</v>
      </c>
      <c r="AK312" s="109">
        <v>0</v>
      </c>
      <c r="AL312" s="109">
        <v>0</v>
      </c>
      <c r="AM312" s="80" t="str">
        <f t="shared" si="8"/>
        <v>17.060,01500</v>
      </c>
      <c r="AN312" t="str">
        <f t="shared" si="9"/>
        <v>17.060,01500</v>
      </c>
    </row>
    <row r="318" spans="2:40" ht="18" customHeight="1">
      <c r="D318" s="100"/>
      <c r="E318" s="101"/>
    </row>
    <row r="319" spans="2:40" ht="18" customHeight="1">
      <c r="E319" s="103"/>
    </row>
    <row r="320" spans="2:40" ht="18" customHeight="1">
      <c r="D320" s="100"/>
      <c r="E320" s="101"/>
      <c r="F320" s="104"/>
    </row>
    <row r="322" spans="6:6" ht="18" customHeight="1">
      <c r="F322" s="92" t="s">
        <v>1336</v>
      </c>
    </row>
  </sheetData>
  <autoFilter ref="B4:AM312" xr:uid="{00000000-0001-0000-0000-000000000000}"/>
  <mergeCells count="20">
    <mergeCell ref="G1:M1"/>
    <mergeCell ref="AG1:AL1"/>
    <mergeCell ref="G2:H3"/>
    <mergeCell ref="I2:J3"/>
    <mergeCell ref="K2:L3"/>
    <mergeCell ref="M2:N3"/>
    <mergeCell ref="O2:P3"/>
    <mergeCell ref="Q2:R3"/>
    <mergeCell ref="S2:T3"/>
    <mergeCell ref="U2:V3"/>
    <mergeCell ref="AH2:AH3"/>
    <mergeCell ref="AI2:AI3"/>
    <mergeCell ref="AJ2:AJ3"/>
    <mergeCell ref="AK2:AL2"/>
    <mergeCell ref="W2:X3"/>
    <mergeCell ref="Y2:Z3"/>
    <mergeCell ref="AA2:AB3"/>
    <mergeCell ref="AC2:AD3"/>
    <mergeCell ref="AE2:AF3"/>
    <mergeCell ref="AG2:AG3"/>
  </mergeCells>
  <pageMargins left="0.511811024" right="0.511811024" top="0.78740157499999996" bottom="0.78740157499999996" header="0.31496062000000002" footer="0.31496062000000002"/>
  <pageSetup paperSize="9" orientation="landscape" horizontalDpi="300" r:id="rId1"/>
  <headerFooter>
    <oddFooter>&amp;L&amp;1#&amp;"Calibri"&amp;8&amp;K000000Classified as Internal</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10697e7-9325-42a5-8298-f2cc78e947c1" xsi:nil="true"/>
    <lcf76f155ced4ddcb4097134ff3c332f xmlns="2cc519e1-d411-4a2f-9b83-e85f60a6eb7c">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B6BC0A981C34C444BF3D0754D251A4B3" ma:contentTypeVersion="11" ma:contentTypeDescription="Crie um novo documento." ma:contentTypeScope="" ma:versionID="887c01e3ba98b57069e8fd5ec3b5a5b4">
  <xsd:schema xmlns:xsd="http://www.w3.org/2001/XMLSchema" xmlns:xs="http://www.w3.org/2001/XMLSchema" xmlns:p="http://schemas.microsoft.com/office/2006/metadata/properties" xmlns:ns2="2cc519e1-d411-4a2f-9b83-e85f60a6eb7c" xmlns:ns3="610697e7-9325-42a5-8298-f2cc78e947c1" targetNamespace="http://schemas.microsoft.com/office/2006/metadata/properties" ma:root="true" ma:fieldsID="9fc4e479f61d101017c138092381ac42" ns2:_="" ns3:_="">
    <xsd:import namespace="2cc519e1-d411-4a2f-9b83-e85f60a6eb7c"/>
    <xsd:import namespace="610697e7-9325-42a5-8298-f2cc78e947c1"/>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c519e1-d411-4a2f-9b83-e85f60a6eb7c"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Marcações de imagem" ma:readOnly="false" ma:fieldId="{5cf76f15-5ced-4ddc-b409-7134ff3c332f}" ma:taxonomyMulti="true" ma:sspId="e94d85d5-c7b4-488f-b516-9dd8d5c8aec1"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10697e7-9325-42a5-8298-f2cc78e947c1"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f116298-3e4f-47a3-af84-23ed36061342}" ma:internalName="TaxCatchAll" ma:showField="CatchAllData" ma:web="610697e7-9325-42a5-8298-f2cc78e947c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FC6E22-2DC8-4E3D-8599-6D662D35B96F}">
  <ds:schemaRefs>
    <ds:schemaRef ds:uri="http://schemas.microsoft.com/sharepoint/v3/contenttype/forms"/>
  </ds:schemaRefs>
</ds:datastoreItem>
</file>

<file path=customXml/itemProps2.xml><?xml version="1.0" encoding="utf-8"?>
<ds:datastoreItem xmlns:ds="http://schemas.openxmlformats.org/officeDocument/2006/customXml" ds:itemID="{A7BFCCAE-C0AE-49D6-89B9-E3B11510DE79}">
  <ds:schemaRefs>
    <ds:schemaRef ds:uri="http://schemas.microsoft.com/office/2006/metadata/properties"/>
    <ds:schemaRef ds:uri="http://schemas.microsoft.com/office/infopath/2007/PartnerControls"/>
    <ds:schemaRef ds:uri="610697e7-9325-42a5-8298-f2cc78e947c1"/>
    <ds:schemaRef ds:uri="2cc519e1-d411-4a2f-9b83-e85f60a6eb7c"/>
  </ds:schemaRefs>
</ds:datastoreItem>
</file>

<file path=customXml/itemProps3.xml><?xml version="1.0" encoding="utf-8"?>
<ds:datastoreItem xmlns:ds="http://schemas.openxmlformats.org/officeDocument/2006/customXml" ds:itemID="{A85601F7-C2B6-4874-9721-F40301FE05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c519e1-d411-4a2f-9b83-e85f60a6eb7c"/>
    <ds:schemaRef ds:uri="610697e7-9325-42a5-8298-f2cc78e947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6</vt:i4>
      </vt:variant>
    </vt:vector>
  </HeadingPairs>
  <TitlesOfParts>
    <vt:vector size="13" baseType="lpstr">
      <vt:lpstr>Formulário</vt:lpstr>
      <vt:lpstr>Intruções de Preenchimento</vt:lpstr>
      <vt:lpstr>Codigo_Atividade</vt:lpstr>
      <vt:lpstr>bases</vt:lpstr>
      <vt:lpstr>Fliais</vt:lpstr>
      <vt:lpstr>Filiais 2</vt:lpstr>
      <vt:lpstr>CONSOLIDADO</vt:lpstr>
      <vt:lpstr>'Intruções de Preenchimento'!Area_de_impressao</vt:lpstr>
      <vt:lpstr>cAtivDescr</vt:lpstr>
      <vt:lpstr>cCodAtiv</vt:lpstr>
      <vt:lpstr>chave_1_cod_sap</vt:lpstr>
      <vt:lpstr>chave_2_cod_sap</vt:lpstr>
      <vt:lpstr>codigo_sap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Almeida</dc:creator>
  <cp:lastModifiedBy>Nicolas Almeida</cp:lastModifiedBy>
  <dcterms:created xsi:type="dcterms:W3CDTF">2025-05-20T18:04:49Z</dcterms:created>
  <dcterms:modified xsi:type="dcterms:W3CDTF">2026-06-14T13:51:42Z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0x010100B6BC0A981C34C444BF3D0754D251A4B3</vt:lpwstr>
  </property>
  <property fmtid="{D5CDD505-2E9C-101B-9397-08002B2CF9AE}" pid="3" name="MediaServiceImageTags">
    <vt:lpwstr/>
  </property>
</Properties>
</file>